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dC" sheetId="1" r:id="rId4"/>
    <sheet state="visible" name="OdC" sheetId="2" r:id="rId5"/>
    <sheet state="visible" name="elenco dispositivi" sheetId="3" r:id="rId6"/>
  </sheets>
  <definedNames/>
  <calcPr/>
  <extLst>
    <ext uri="GoogleSheetsCustomDataVersion2">
      <go:sheetsCustomData xmlns:go="http://customooxmlschemas.google.com/" r:id="rId7" roundtripDataChecksum="pJEjzKNpVgWRJ4iLBa5Sg10Ors2MxZbufrJCjwLZIw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3">
      <text>
        <t xml:space="preserve">per ODC Cecina il reparto richiede ulteriori arredi non disponibili in elenco  (Es: letto per pz. obesi, poltrona posturale, archivio cartelle cliniche ecc...) 
======</t>
      </text>
    </comment>
  </commentList>
</comments>
</file>

<file path=xl/sharedStrings.xml><?xml version="1.0" encoding="utf-8"?>
<sst xmlns="http://schemas.openxmlformats.org/spreadsheetml/2006/main" count="463" uniqueCount="267">
  <si>
    <t>Stima arredi PNRR Case di ComunitàF</t>
  </si>
  <si>
    <t>CdC Carrara</t>
  </si>
  <si>
    <t>CdC Pontremoli</t>
  </si>
  <si>
    <t>CdC Montignoso</t>
  </si>
  <si>
    <t>CdC Massa</t>
  </si>
  <si>
    <t>CdC Pescaglia</t>
  </si>
  <si>
    <t>CdC San Leonardo in Tr.</t>
  </si>
  <si>
    <t>CdC Viareggio (terminetto)</t>
  </si>
  <si>
    <t>CdC Pietrasanta</t>
  </si>
  <si>
    <t>CdC Camaiore</t>
  </si>
  <si>
    <t>CdC Pisa</t>
  </si>
  <si>
    <t>CdC Vecchiano</t>
  </si>
  <si>
    <t>CdC Cascina</t>
  </si>
  <si>
    <t>CdC Marina Pisa</t>
  </si>
  <si>
    <t>CdC Crespina</t>
  </si>
  <si>
    <t>CdC Pontedera</t>
  </si>
  <si>
    <t>CdC Volterra</t>
  </si>
  <si>
    <t>CdC Pomarance</t>
  </si>
  <si>
    <t>CdC Bientina</t>
  </si>
  <si>
    <t>CdC Livorno centro</t>
  </si>
  <si>
    <t>CdC Livorno est</t>
  </si>
  <si>
    <t>CdC Collesalvetti</t>
  </si>
  <si>
    <t>CdC Cecina</t>
  </si>
  <si>
    <t>CdC San Giuliano</t>
  </si>
  <si>
    <t>CdC Portoferraio</t>
  </si>
  <si>
    <t>CdC Suvereto</t>
  </si>
  <si>
    <t>CdC Ponsacco</t>
  </si>
  <si>
    <t>RUP</t>
  </si>
  <si>
    <t>Rosa Cattaneo</t>
  </si>
  <si>
    <t>Sara Carrari</t>
  </si>
  <si>
    <t>Dal Pino Paolo</t>
  </si>
  <si>
    <t>Novelli Maurizio</t>
  </si>
  <si>
    <t>Alessio Martini</t>
  </si>
  <si>
    <t>Andrea Ceccardi</t>
  </si>
  <si>
    <t>Massimo Malfetti</t>
  </si>
  <si>
    <t>Rita Ficarelli</t>
  </si>
  <si>
    <t>Daniele Gambicorti</t>
  </si>
  <si>
    <t>Cell</t>
  </si>
  <si>
    <t>333 6109996</t>
  </si>
  <si>
    <t>Data consegna prevista</t>
  </si>
  <si>
    <t>Arredo</t>
  </si>
  <si>
    <t>Costo unitario</t>
  </si>
  <si>
    <t>nr.</t>
  </si>
  <si>
    <t>Stima</t>
  </si>
  <si>
    <t xml:space="preserve">scrivania operativa cm 160x80  completa di accessori </t>
  </si>
  <si>
    <t>seduta da lavoro operativa in ecopelle con braccioli</t>
  </si>
  <si>
    <t>seduta visitatore operativa in ecopelle senza braccioli</t>
  </si>
  <si>
    <t>armadio ad ante con serratura h.214.</t>
  </si>
  <si>
    <t>scrivania IDEA 01 con piano 140x80 (QUADRIFOGLIO)</t>
  </si>
  <si>
    <t>scrivania IDEA01 con piano 160x81 (QUADRIFOGLIO)</t>
  </si>
  <si>
    <t>canalina sotto piano (QUADRIFOGLIO)</t>
  </si>
  <si>
    <t>porta CPU tubolare regolabile (QUADRIFOGLIO)</t>
  </si>
  <si>
    <t>dattilo 80x60 (QUADRIFOGLIO)</t>
  </si>
  <si>
    <t>cassettiera 3+1 su ruote (QUADRIFOGLIO)</t>
  </si>
  <si>
    <t>postazioni L140 (CUP Bientina prezzi da aggiornare QUADRIFOGLIO)</t>
  </si>
  <si>
    <t>modulo lineare L 140 H112 (CUP Bientina prezzi da aggiornare QUADRIFOGLIO)</t>
  </si>
  <si>
    <t>mensola accettazione in appoggio L120 (CUP Bientina prezzi da aggiornare QUADRIFOGLIO)</t>
  </si>
  <si>
    <t>piano di lavoro L140 P100 (CUP Bientina prezzi da aggiornare QUADRIFOGLIO = x disabili)</t>
  </si>
  <si>
    <t>postazione disabili L140 (CUP Bientina prezzi da aggiornare QUADRIFOGLIO)</t>
  </si>
  <si>
    <t>modulo lineare L140 H72 ribassato disabili (CUP Bientina prezzi da aggiornare QUADRIFOGLIO)</t>
  </si>
  <si>
    <t>mensola accettazione in appoggio L120 per disabili (CUP Bientina prezzi da aggiornare QUADRIFOGLIO)</t>
  </si>
  <si>
    <t>frontali bancone laminato+alluminio (CUP Bientina prezzi da aggiornare QUADRIFOGLIO)</t>
  </si>
  <si>
    <t>fianco terminale (CUP Bientina prezzi da aggiornare QUADRIFOGLIO)</t>
  </si>
  <si>
    <t>fianco intermedio (CUP Bientina prezzi da aggiornare QUADRIFOGLIO)</t>
  </si>
  <si>
    <t>terminale per modulo disabile (CUP Bientina prezzi da aggiornare QUADRIFOGLIO)</t>
  </si>
  <si>
    <t>vetri con foro e disco passavoce e passadocumenti con reggivetro (CUP Bientina prezzi da aggiornare QUADRIFOGLIO)</t>
  </si>
  <si>
    <t>Top access con flip top e blocco multipresa (CUP Bientina prezzi da aggiornare QUADRIFOGLIO)</t>
  </si>
  <si>
    <t>canalizzazione orizzontale e verticale sottobancone (CUP Bientina prezzi da aggiornare QUADRIFOGLIO)</t>
  </si>
  <si>
    <t>appendiabiti (QUADRIFOGLIO)</t>
  </si>
  <si>
    <t>cestino in plastica (QUADRIFOGLIO)</t>
  </si>
  <si>
    <t>SEDIA VISITATORE OCOVEV22 - Sedia multifunzionale con basamento a slitta in metallo e scocca imbottita - metallo umbra grey e tessuto B01/013 (QUADRIFOGLIO)</t>
  </si>
  <si>
    <t>SGABELLO VISITATORE OCOVES04 - Sgabello su base girevole regolabile in altezza, con poggiapiedi regolabile in altezza, scocca in polipropilene - telaio verniciato alluminio e struttura Bianco (QUADRIFOGLIO)</t>
  </si>
  <si>
    <t>SEDIA INGRESSO OCOVEV02 - Sedia multifunzionale con basamento a slitta in metallo e scocca in polipropilene + optional sedile imbottito - telaio bianco e tessuto B03/182 (QUADRIFOGLIO)</t>
  </si>
  <si>
    <t>SEDIA OPERATORE DIADE ROCK - poltrona operativa DIADE ROCK con plastiche bianche , schienale a rete R09/360 nero , meccanismo SYNCRON , supporto lombare regolabile, ruote gommate per pavimenti duri, braccioli regolabili 1D, rivestimento del sedile in cat. B01/009 tessuto, completa di poggiareni flessibile , sedile in multistrato di legno imbottito, basamento nylon bianco (QUADRIFOGLIO)</t>
  </si>
  <si>
    <t>ARMADIO IN METALLO H 132 cm con scocca in metallo e ante in melaminico, piedini in ABS verniciato + maniglia metallica zen (QUADRIFOGLIO)</t>
  </si>
  <si>
    <t>POLTRONCINA OPERATIVA 2D - seduta con schienale alto, braccioli regolabili 1D - ruote gommate - struttura
braccioli nera- riv. Vinyl Extrema ignifuga blu (ARESLINE)</t>
  </si>
  <si>
    <t>POLTRONCINA VISITATORE 2C - seduta con schienale alto, senza braccioli, fissa su
gambe, telaio in acciaio vern. nero - riv. Vinyl
Extrema ignifuga blu (ARESLINE)</t>
  </si>
  <si>
    <t>Sgabello OPERATORE 2I (ARESLINE)</t>
  </si>
  <si>
    <t>PANCHINA SU TRAVE - seduta con schienale unica altezza 3 posti (ARESLINE)</t>
  </si>
  <si>
    <t>Lettini visita (GIVAS)</t>
  </si>
  <si>
    <t>paravento (GIVAS)</t>
  </si>
  <si>
    <t>piedini (GIVAS)</t>
  </si>
  <si>
    <t>poltrona letto (GIVAS)</t>
  </si>
  <si>
    <t>predellino (GIVAS)</t>
  </si>
  <si>
    <t>portaflebo (GIVAS)</t>
  </si>
  <si>
    <t>Scaffalatura base 107x60x200 (ARMET)</t>
  </si>
  <si>
    <t>Scaffalatura aggiuntiva 103x60x200 (ARMET)</t>
  </si>
  <si>
    <t>Scaffalatura base 107x50x200 (ARMET)</t>
  </si>
  <si>
    <t>Scaffalatura aggiuntiva 103x50x200 (ARMET)</t>
  </si>
  <si>
    <t>armadio metallico ante battenti L100 x P45 (ARMET)
 H200 cm</t>
  </si>
  <si>
    <t>Panca in alluminio L.100cm (ARMET)</t>
  </si>
  <si>
    <t>armadietto spogl. metallico con divisione (ARMET)
 sporco/pulito, ripiano sup. ed inf., tetto
 inclinato, chiusura con chiave, piedini
 livellatori, ad 1 posto</t>
  </si>
  <si>
    <t>BOX COMPOSTI DA NR.1 PARETE FRONTALE DA MM 3600 CON NR.4 PORTE E NR.5 DIVISORI DA MM 1000 - bagni spogliatoio (SINKO)</t>
  </si>
  <si>
    <t>SERRATURA LIB/OCC PBA IN ACCIAIO INOX (SINKO)</t>
  </si>
  <si>
    <t>POMOLO DOPPIO ACCIAIO INOX (SINKO)</t>
  </si>
  <si>
    <t>APPENDIABITI PER BOX IN ACCIAIO INOX (GRANDI) (SINKO)</t>
  </si>
  <si>
    <t>MONTAGGIO (senza sconto) (SINKO)</t>
  </si>
  <si>
    <t>FASCIATOIO - CARRELLO TRASPORTO DOPPIO ALTEZZA 1100 MM CON MONTANTI E PARETI IN ALLUMINIO (FRANCE HOPITAL)</t>
  </si>
  <si>
    <t>CHIUSURA A CHIAVE PER CARRELLI TRASPORTO per fasciatoio (FRANCE HOPITAL)</t>
  </si>
  <si>
    <t>FASCIATOIO - MATERASSINO PER CARRELLO PRECISO (FRANCE HOPITAL)</t>
  </si>
  <si>
    <t>VASCHETTA ISO 600X400X100 H MM IN ABS GRIGIO per fasciatoio (FRANCE HOPITAL)</t>
  </si>
  <si>
    <t>COPPIA FERMI DI BLOCCO PER CESTELLI ISO AD L per fasciatoio (FRANCE HOPITAL)</t>
  </si>
  <si>
    <t>RIPIANO INTERNO ISO IN ACCIAIO VERNICIATO per fasciatoio (FRANCE HOPITAL)</t>
  </si>
  <si>
    <t>CARRELLO MEDICAZIONE IN ACCIAIO 2 PIANI CON 2 CASSETTI CON DUE CASSETTI IN PLASTICA SU GUIDA (FRANCE HOPITAL)</t>
  </si>
  <si>
    <t>Armadio Colonna ante ciec. + ripiani 92x46x190 (FAVERO)</t>
  </si>
  <si>
    <t>Bilancia a romano nonio con altimetro (FAVERO)</t>
  </si>
  <si>
    <t>Bilancia neonati (FAVERO)</t>
  </si>
  <si>
    <t>Banconcino ambulatorio - Base/sopralzo ante ciec + ripiano 92x46x72 (FAVERO)</t>
  </si>
  <si>
    <t>Armadio Colonna anta cieca + ripiani 46x46x190 (FAVERO)</t>
  </si>
  <si>
    <t>Top e Frontale bancone Reception da 160 (FAVERO)</t>
  </si>
  <si>
    <t>Coppia fianchi bancone Reception (FAVERO)</t>
  </si>
  <si>
    <t>Cassettiera su ruote 3 cassetti per bancone reception (FAVERO)</t>
  </si>
  <si>
    <t>Piano bilaminato per bancone reception (FAVERO)</t>
  </si>
  <si>
    <t>Piano in dupont per BANCONCINO ambulatorio tm corian mm 470x30 (FAVERO)</t>
  </si>
  <si>
    <t>Telaio di supporto bancone reception (FAVERO)</t>
  </si>
  <si>
    <t>Lettino visita di tipo ginecologico (FAVERO)</t>
  </si>
  <si>
    <t>Ponsacco Arredi QUADRIFOGLIO</t>
  </si>
  <si>
    <t>Ponsacco Arredi ARES LINE</t>
  </si>
  <si>
    <t>Ponsacco Arredi FRANCEHOPITAL</t>
  </si>
  <si>
    <t>Ponsacco Arredi DIVISION SYSTEMS</t>
  </si>
  <si>
    <t>Ponsacco Arredi FAVERO</t>
  </si>
  <si>
    <t>Ponsacco Arredi GIVAS</t>
  </si>
  <si>
    <t>Ponsacco Arredi ARMET</t>
  </si>
  <si>
    <t>Ponsacco Arredi MALVESTIO</t>
  </si>
  <si>
    <t>Ponsacco Arredi LUCINI</t>
  </si>
  <si>
    <t>Ponsacco Arredi DA QUOTARE (stima)</t>
  </si>
  <si>
    <t>POLTRONA PRELIEVI SU RUOTE CON MOVIMENTI  SINCRONIZZATI - POSIZIONE ANTI SHOCK (GIVAS)</t>
  </si>
  <si>
    <t>tavolo riunioni (QUADRIFOGLIO)</t>
  </si>
  <si>
    <t>Armadietti spogliatoio 3 posti 122x50xh217 (SINKO 4C)</t>
  </si>
  <si>
    <t>Armadio metallico ante scorrevoli 120x45xh200 (ARMET 3A)</t>
  </si>
  <si>
    <t>Divano 2/3 posti</t>
  </si>
  <si>
    <t>ATTACCAPANNI</t>
  </si>
  <si>
    <t>ARMADIO 2 ANTE</t>
  </si>
  <si>
    <t>ARMADIO 3 ANTE</t>
  </si>
  <si>
    <t>ARMADIO 4 ANTE</t>
  </si>
  <si>
    <t>MOBILE BASSO DA 2 ante CON SPORTELLI (ANTE)</t>
  </si>
  <si>
    <t>MOBILE BASSO DA 4 ante   CM. CON SPORTELLI (ANTE)</t>
  </si>
  <si>
    <t>MOBILE BASSO DA 100/1200  CM. CON SPORTELLI (ANTE)</t>
  </si>
  <si>
    <t>SCRIVANIA PICCOLA  PER PC HOLTER 80X60 CIRCA</t>
  </si>
  <si>
    <t>CARRELLINO PICCOLO PER SPIROMETRI 50X40 CIRCA</t>
  </si>
  <si>
    <t>SCRIVANIA 160X80 (LINEARE)</t>
  </si>
  <si>
    <t>SCRIVANIA &gt; 280X120 (SE NON NE ESISTE DI QUELLE DIMENSIONI PREVEDERNE PIÙ DI UNA. MA RISPETTARE MISURA RICHIESTA</t>
  </si>
  <si>
    <t>SCRIVANIA 100X80</t>
  </si>
  <si>
    <t>BANCONE CUP da misurare</t>
  </si>
  <si>
    <t>STIPETTO</t>
  </si>
  <si>
    <t>SEDIE SALA ATTESA</t>
  </si>
  <si>
    <t>POLTRONA PRELIEVO</t>
  </si>
  <si>
    <t>POSTAZIONE ACCOGLIENZA</t>
  </si>
  <si>
    <t>LAVAGNA</t>
  </si>
  <si>
    <t>CUCINA</t>
  </si>
  <si>
    <t>Totale generale:</t>
  </si>
  <si>
    <t>Incentivo stimato</t>
  </si>
  <si>
    <t>Tipologia Attrezzatura da acquistare</t>
  </si>
  <si>
    <t>locale di destinazione</t>
  </si>
  <si>
    <t>Attrezzatura</t>
  </si>
  <si>
    <t>Importo (IVA esclusa) €</t>
  </si>
  <si>
    <t>q.e. (sì/no)</t>
  </si>
  <si>
    <t>AMBULATORIO MEDICO</t>
  </si>
  <si>
    <t>LETTINO VISITA ELETTRICO</t>
  </si>
  <si>
    <t>DAE+ ASPIRATORE PER CARRELLO EMERGENZA</t>
  </si>
  <si>
    <t>ECOGRAFO</t>
  </si>
  <si>
    <t>LAMPADA VISITA SU STATIVO</t>
  </si>
  <si>
    <t>FRIGORIFERO</t>
  </si>
  <si>
    <t>no</t>
  </si>
  <si>
    <t>CARDIO/ENDOCRINO</t>
  </si>
  <si>
    <t>ECG</t>
  </si>
  <si>
    <t>MONITOR MULTIPARAMETRICO</t>
  </si>
  <si>
    <t>OCULISTICA</t>
  </si>
  <si>
    <t>RIUNITO OCULISTICO COMPLETO</t>
  </si>
  <si>
    <t>OTORINO</t>
  </si>
  <si>
    <t>spirometro da mettere in rete</t>
  </si>
  <si>
    <t>TOTALE :</t>
  </si>
  <si>
    <t>Stima arredi PNRR Ospedali di Comunità</t>
  </si>
  <si>
    <t>OdC Viareggio</t>
  </si>
  <si>
    <t>OdC Barga</t>
  </si>
  <si>
    <t>OdC Campo Marte</t>
  </si>
  <si>
    <t>OdC Cecina</t>
  </si>
  <si>
    <t>OdC Piombino</t>
  </si>
  <si>
    <t>OdC Livorno</t>
  </si>
  <si>
    <t>OdC Massa</t>
  </si>
  <si>
    <t>Andrea Biagioni</t>
  </si>
  <si>
    <t>Cell.</t>
  </si>
  <si>
    <t>333 6108954</t>
  </si>
  <si>
    <t>Costo unitario (IVA compresa)</t>
  </si>
  <si>
    <t>DEGENZA</t>
  </si>
  <si>
    <t>Letto elettrico degenza (LINET)</t>
  </si>
  <si>
    <t>armadietto degenza ad 1 anta 45x50xh200 (MALVESTIO 7A)</t>
  </si>
  <si>
    <t>armadietto degenza a 2 ante 90x50xh200 (MALVESTIO 7B)</t>
  </si>
  <si>
    <t>armadietto degenza a 3 ante 135x50xh200 (MALVESTIO 7C)</t>
  </si>
  <si>
    <t>Comodino degenza (MALVESTIO 7D)</t>
  </si>
  <si>
    <t>Ripiano aggiuntivo comodino (MALVESTIO 7D)</t>
  </si>
  <si>
    <t>Tavolo servitore per comodino (MALVESTIO 7D)</t>
  </si>
  <si>
    <t>Tavolo sospeso a ribalta 90x60 (MALVESTIO 7E)</t>
  </si>
  <si>
    <t>Tavolo quadrato con gambe 90x90 (MALVESTIO 7F)</t>
  </si>
  <si>
    <t>Seduta da degenza (MALVESTIO 7G)</t>
  </si>
  <si>
    <t>Poltrona relax degenza (GIVAS LOTTO 3)</t>
  </si>
  <si>
    <t>UFFICIO-AMBULATORIO SALA RIUNIONI</t>
  </si>
  <si>
    <t>scrivania IDEA TUBE con piano 140x80 completa di canalina passacavi e gonna (QUADRIFOGLIO)</t>
  </si>
  <si>
    <t>scrivania IDEA TUBE con piano 160x80 completa di canalina passacavi e gonna (QUADRIFOGLIO)</t>
  </si>
  <si>
    <t>scrivania IDEA TUBE con piano 180x80 completa di canalina passacavi e gonna (QUADRIFOGLIO)</t>
  </si>
  <si>
    <t>flip top scrivania per uscita cavi (QUADRIFOGLIO)</t>
  </si>
  <si>
    <t>armadio con ante basse cieche e superiori in vetro acidato con serratura 86x45xh214 (QUADRIFOGLIO)</t>
  </si>
  <si>
    <t>armadio basso a due ante 86x45xh86 (QUADRIFOGLIO)</t>
  </si>
  <si>
    <t>POLTRONCINA 2D - seduta da lavoro operativa in ecopelle (ARESLINE)</t>
  </si>
  <si>
    <t>POLTRONCINA 2C - seduta visitatore operativa in ecopelle (ARESLINE)</t>
  </si>
  <si>
    <t>lettino da visita 2 sezioni oleodinamico a gas (GIVAS LOTTO 1)</t>
  </si>
  <si>
    <t>ATTESA ACC.NE</t>
  </si>
  <si>
    <t>Bancone accettazione front office (QUADRIFOGLIO)</t>
  </si>
  <si>
    <t>MEDICHERIA PULITO</t>
  </si>
  <si>
    <t>Parete tecnica attrezzata in materiale composito (FAVERO 11B)</t>
  </si>
  <si>
    <t>Armadio per farmaci (FAVERO 11D)</t>
  </si>
  <si>
    <t>Colonna anta cieca 45xP65 (FAVERO) armadi pulito</t>
  </si>
  <si>
    <t>CUCINA DISPENSA SOGGIORNO</t>
  </si>
  <si>
    <t>Cucina di reparto - composizione personalizzata (FAVERO lotto 2)</t>
  </si>
  <si>
    <t>Cucina di reparto - composizione da capitolato (FAVERO lotto 2)</t>
  </si>
  <si>
    <t>Pensile con anta e cappa (FAVERO)</t>
  </si>
  <si>
    <t>Pensile con anta e ripiano (FAVERO)</t>
  </si>
  <si>
    <t>Tavolo 120x80 (FAVERO)</t>
  </si>
  <si>
    <t>Sedia (FAVERO)</t>
  </si>
  <si>
    <t>Lavastoviglie libera installazione (CARRADORI)</t>
  </si>
  <si>
    <t>Frigorifero doppia porta libera installazione (CARRADORI)</t>
  </si>
  <si>
    <t>Scaffalatura zincata 100x40xh200 (ARMET 3G)</t>
  </si>
  <si>
    <t>SPOGLIATOI</t>
  </si>
  <si>
    <t>Armadietti spogliatoio 2 posti 82x55xh217 (SINKO 4B)</t>
  </si>
  <si>
    <t>Armadietti spogliatoio 2 posti 81x50 (ARMET 3M)</t>
  </si>
  <si>
    <t>Armadietti spogliatoio 3 posti 120x50 (ARMET 3N)</t>
  </si>
  <si>
    <t>Panca spogliatoio L = 1 m (SINKO 4D)</t>
  </si>
  <si>
    <t>Doga appendiabiti a parete L = 1 m (SINKO 4F)</t>
  </si>
  <si>
    <t>DEPOSITI</t>
  </si>
  <si>
    <t>Armadio metallico ante scorrevoli 180x45xh200 (ARMET 3C)</t>
  </si>
  <si>
    <t>Armadio metallico ante battenti 100x45xh200 (ARMET 3D)</t>
  </si>
  <si>
    <t>Carrello terapia/medicazione (FRANCEHOPITAL 1A)</t>
  </si>
  <si>
    <t>Carrello emergenza (FRANCEHOPITAL 1B)</t>
  </si>
  <si>
    <t>Carrello girovisite (FRANCEHOPITAL 1D)</t>
  </si>
  <si>
    <t>Lavapadelle (ARJO)</t>
  </si>
  <si>
    <t>Vuotatoio (ARJO)</t>
  </si>
  <si>
    <t>Sollevatore (ARJO)</t>
  </si>
  <si>
    <t>Arredi per locale riabilitazione</t>
  </si>
  <si>
    <t>Barella doccia</t>
  </si>
  <si>
    <t>Totali :</t>
  </si>
  <si>
    <t>Incentivo stimato :</t>
  </si>
  <si>
    <t xml:space="preserve">Tipologia Attrezzatura da acquistare </t>
  </si>
  <si>
    <t>Locale di destinazione</t>
  </si>
  <si>
    <t>sì</t>
  </si>
  <si>
    <t>Dispositivi</t>
  </si>
  <si>
    <t>prezzi unitari</t>
  </si>
  <si>
    <t>IVA (%)</t>
  </si>
  <si>
    <t>ECG (con trasmissione tracciati)</t>
  </si>
  <si>
    <t>Holter cardiaco (registratore)</t>
  </si>
  <si>
    <t>Spirometro</t>
  </si>
  <si>
    <t>Apparecchio radiologico</t>
  </si>
  <si>
    <t>Emogasanalizzatore</t>
  </si>
  <si>
    <t>service</t>
  </si>
  <si>
    <t>Poct</t>
  </si>
  <si>
    <t>Dotazione Tecnologie ODC</t>
  </si>
  <si>
    <t>apparecchio radiologico</t>
  </si>
  <si>
    <t>carrello emergenza</t>
  </si>
  <si>
    <t>defibrillatore</t>
  </si>
  <si>
    <t>SPIROMETRO</t>
  </si>
  <si>
    <t>emogasanalizzatore</t>
  </si>
  <si>
    <t>POCT</t>
  </si>
  <si>
    <t>ECG portatile</t>
  </si>
  <si>
    <t>telemedicina (STANZA)</t>
  </si>
  <si>
    <t>Dotazione Tecnologie CDC</t>
  </si>
  <si>
    <t>Holter cardiaco</t>
  </si>
  <si>
    <t>Ecografo portatile</t>
  </si>
  <si>
    <t>Monitor multiparametrico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</si>
</sst>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€-2]\ #,##0.00"/>
    <numFmt numFmtId="165" formatCode="dd/mm/yyyy"/>
    <numFmt numFmtId="166" formatCode="d/m/yyyy"/>
    <numFmt numFmtId="167" formatCode="_-[$€-2]* #,##0.00_-;_-[$€-2]* \-#,##0.00_-;_-[$€-2]* &quot;-&quot;??_-;_-@"/>
    <numFmt numFmtId="168" formatCode="#,##0.00&quot;€&quot;"/>
    <numFmt numFmtId="169" formatCode="&quot;€&quot;#,##0.00"/>
    <numFmt numFmtId="170" formatCode="&quot;€&quot;#,##0"/>
  </numFmts>
  <fonts count="1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b/>
      <color rgb="FF000000"/>
      <name val="Calibri"/>
      <scheme val="minor"/>
    </font>
    <font>
      <b/>
      <sz val="11.0"/>
      <color rgb="FF000000"/>
      <name val="Calibri"/>
    </font>
    <font>
      <color rgb="FFFF0000"/>
      <name val="Calibri"/>
      <scheme val="minor"/>
    </font>
    <font>
      <b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64" xfId="0" applyFont="1" applyNumberFormat="1"/>
    <xf borderId="0" fillId="0" fontId="2" numFmtId="4" xfId="0" applyFont="1" applyNumberFormat="1"/>
    <xf borderId="0" fillId="2" fontId="3" numFmtId="164" xfId="0" applyFill="1" applyFont="1" applyNumberFormat="1"/>
    <xf borderId="1" fillId="0" fontId="1" numFmtId="0" xfId="0" applyAlignment="1" applyBorder="1" applyFont="1">
      <alignment horizontal="center"/>
    </xf>
    <xf borderId="2" fillId="0" fontId="4" numFmtId="0" xfId="0" applyBorder="1" applyFont="1"/>
    <xf borderId="2" fillId="0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2" fillId="4" fontId="1" numFmtId="0" xfId="0" applyAlignment="1" applyBorder="1" applyFill="1" applyFont="1">
      <alignment horizontal="center"/>
    </xf>
    <xf borderId="2" fillId="4" fontId="1" numFmtId="4" xfId="0" applyAlignment="1" applyBorder="1" applyFont="1" applyNumberFormat="1">
      <alignment horizontal="center"/>
    </xf>
    <xf borderId="3" fillId="0" fontId="4" numFmtId="0" xfId="0" applyBorder="1" applyFont="1"/>
    <xf borderId="2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0" fillId="4" fontId="5" numFmtId="0" xfId="0" applyAlignment="1" applyFont="1">
      <alignment horizontal="right" readingOrder="0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 readingOrder="0"/>
    </xf>
    <xf borderId="1" fillId="4" fontId="6" numFmtId="4" xfId="0" applyAlignment="1" applyBorder="1" applyFont="1" applyNumberFormat="1">
      <alignment horizontal="center" readingOrder="0"/>
    </xf>
    <xf borderId="0" fillId="0" fontId="6" numFmtId="0" xfId="0" applyAlignment="1" applyFont="1">
      <alignment horizontal="center"/>
    </xf>
    <xf borderId="1" fillId="0" fontId="1" numFmtId="0" xfId="0" applyAlignment="1" applyBorder="1" applyFont="1">
      <alignment horizontal="center" readingOrder="0"/>
    </xf>
    <xf borderId="1" fillId="4" fontId="6" numFmtId="0" xfId="0" applyAlignment="1" applyBorder="1" applyFont="1">
      <alignment horizontal="center"/>
    </xf>
    <xf borderId="1" fillId="4" fontId="6" numFmtId="4" xfId="0" applyAlignment="1" applyBorder="1" applyFont="1" applyNumberFormat="1">
      <alignment horizontal="center"/>
    </xf>
    <xf borderId="1" fillId="0" fontId="6" numFmtId="165" xfId="0" applyAlignment="1" applyBorder="1" applyFont="1" applyNumberFormat="1">
      <alignment horizontal="center" readingOrder="0"/>
    </xf>
    <xf borderId="1" fillId="0" fontId="6" numFmtId="166" xfId="0" applyAlignment="1" applyBorder="1" applyFont="1" applyNumberFormat="1">
      <alignment horizontal="center" readingOrder="0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4" fillId="0" fontId="6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4" fillId="4" fontId="6" numFmtId="0" xfId="0" applyAlignment="1" applyBorder="1" applyFont="1">
      <alignment horizontal="center"/>
    </xf>
    <xf borderId="4" fillId="4" fontId="6" numFmtId="4" xfId="0" applyAlignment="1" applyBorder="1" applyFont="1" applyNumberFormat="1">
      <alignment horizontal="center"/>
    </xf>
    <xf borderId="4" fillId="4" fontId="6" numFmtId="164" xfId="0" applyAlignment="1" applyBorder="1" applyFont="1" applyNumberFormat="1">
      <alignment horizontal="center"/>
    </xf>
    <xf borderId="4" fillId="2" fontId="7" numFmtId="164" xfId="0" applyAlignment="1" applyBorder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8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/>
    </xf>
    <xf borderId="0" fillId="0" fontId="9" numFmtId="0" xfId="0" applyAlignment="1" applyFont="1">
      <alignment readingOrder="0" shrinkToFit="0" vertical="bottom" wrapText="1"/>
    </xf>
    <xf borderId="0" fillId="0" fontId="8" numFmtId="0" xfId="0" applyAlignment="1" applyFont="1">
      <alignment horizontal="left" readingOrder="0" shrinkToFit="0" vertical="bottom" wrapText="1"/>
    </xf>
    <xf borderId="0" fillId="0" fontId="10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5" numFmtId="164" xfId="0" applyFont="1" applyNumberFormat="1"/>
    <xf borderId="0" fillId="2" fontId="5" numFmtId="164" xfId="0" applyFont="1" applyNumberFormat="1"/>
    <xf borderId="0" fillId="2" fontId="11" numFmtId="164" xfId="0" applyFont="1" applyNumberFormat="1"/>
    <xf borderId="0" fillId="0" fontId="5" numFmtId="167" xfId="0" applyFont="1" applyNumberFormat="1"/>
    <xf borderId="0" fillId="0" fontId="2" numFmtId="167" xfId="0" applyFont="1" applyNumberFormat="1"/>
    <xf borderId="0" fillId="0" fontId="5" numFmtId="167" xfId="0" applyAlignment="1" applyFont="1" applyNumberFormat="1">
      <alignment readingOrder="0"/>
    </xf>
    <xf borderId="0" fillId="0" fontId="2" numFmtId="164" xfId="0" applyAlignment="1" applyFont="1" applyNumberFormat="1">
      <alignment readingOrder="0" vertical="center"/>
    </xf>
    <xf borderId="0" fillId="4" fontId="2" numFmtId="164" xfId="0" applyAlignment="1" applyFont="1" applyNumberFormat="1">
      <alignment readingOrder="0" vertical="center"/>
    </xf>
    <xf borderId="0" fillId="0" fontId="2" numFmtId="167" xfId="0" applyAlignment="1" applyFont="1" applyNumberFormat="1">
      <alignment readingOrder="0"/>
    </xf>
    <xf borderId="0" fillId="0" fontId="2" numFmtId="167" xfId="0" applyAlignment="1" applyFont="1" applyNumberFormat="1">
      <alignment horizontal="right" readingOrder="0"/>
    </xf>
    <xf borderId="0" fillId="0" fontId="1" numFmtId="167" xfId="0" applyAlignment="1" applyFont="1" applyNumberFormat="1">
      <alignment horizontal="right"/>
    </xf>
    <xf borderId="0" fillId="0" fontId="6" numFmtId="167" xfId="0" applyAlignment="1" applyFont="1" applyNumberFormat="1">
      <alignment horizontal="left" readingOrder="0"/>
    </xf>
    <xf borderId="0" fillId="5" fontId="1" numFmtId="167" xfId="0" applyAlignment="1" applyFill="1" applyFont="1" applyNumberFormat="1">
      <alignment horizontal="right"/>
    </xf>
    <xf borderId="0" fillId="5" fontId="5" numFmtId="164" xfId="0" applyFont="1" applyNumberFormat="1"/>
    <xf borderId="0" fillId="2" fontId="11" numFmtId="167" xfId="0" applyFont="1" applyNumberFormat="1"/>
    <xf borderId="0" fillId="0" fontId="5" numFmtId="167" xfId="0" applyAlignment="1" applyFont="1" applyNumberFormat="1">
      <alignment horizontal="right" readingOrder="0"/>
    </xf>
    <xf borderId="0" fillId="0" fontId="12" numFmtId="0" xfId="0" applyAlignment="1" applyFont="1">
      <alignment horizontal="center" readingOrder="0" shrinkToFit="0" vertical="top" wrapText="0"/>
    </xf>
    <xf borderId="4" fillId="0" fontId="12" numFmtId="0" xfId="0" applyAlignment="1" applyBorder="1" applyFont="1">
      <alignment horizontal="center" readingOrder="0" shrinkToFit="0" vertical="top" wrapText="0"/>
    </xf>
    <xf borderId="3" fillId="0" fontId="12" numFmtId="164" xfId="0" applyAlignment="1" applyBorder="1" applyFont="1" applyNumberFormat="1">
      <alignment horizontal="center" readingOrder="0" shrinkToFit="0" vertical="top" wrapText="0"/>
    </xf>
    <xf borderId="3" fillId="0" fontId="12" numFmtId="0" xfId="0" applyAlignment="1" applyBorder="1" applyFont="1">
      <alignment horizontal="center" readingOrder="0" shrinkToFit="0" vertical="top" wrapText="0"/>
    </xf>
    <xf borderId="4" fillId="0" fontId="6" numFmtId="164" xfId="0" applyAlignment="1" applyBorder="1" applyFont="1" applyNumberFormat="1">
      <alignment horizontal="center" readingOrder="0"/>
    </xf>
    <xf borderId="4" fillId="0" fontId="6" numFmtId="4" xfId="0" applyAlignment="1" applyBorder="1" applyFont="1" applyNumberFormat="1">
      <alignment horizontal="center"/>
    </xf>
    <xf borderId="0" fillId="0" fontId="7" numFmtId="0" xfId="0" applyAlignment="1" applyFont="1">
      <alignment readingOrder="0" shrinkToFit="0" vertical="bottom" wrapText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168" xfId="0" applyAlignment="1" applyFont="1" applyNumberFormat="1">
      <alignment readingOrder="0" shrinkToFit="0" vertical="bottom" wrapText="0"/>
    </xf>
    <xf borderId="0" fillId="0" fontId="2" numFmtId="168" xfId="0" applyFont="1" applyNumberFormat="1"/>
    <xf borderId="0" fillId="6" fontId="2" numFmtId="0" xfId="0" applyAlignment="1" applyFill="1" applyFont="1">
      <alignment readingOrder="0"/>
    </xf>
    <xf borderId="0" fillId="0" fontId="2" numFmtId="0" xfId="0" applyAlignment="1" applyFont="1">
      <alignment readingOrder="0" vertical="center"/>
    </xf>
    <xf borderId="0" fillId="0" fontId="10" numFmtId="164" xfId="0" applyAlignment="1" applyFont="1" applyNumberFormat="1">
      <alignment vertical="bottom"/>
    </xf>
    <xf borderId="0" fillId="0" fontId="6" numFmtId="164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0" fontId="6" numFmtId="164" xfId="0" applyAlignment="1" applyFont="1" applyNumberFormat="1">
      <alignment vertical="bottom"/>
    </xf>
    <xf borderId="0" fillId="0" fontId="6" numFmtId="4" xfId="0" applyAlignment="1" applyFont="1" applyNumberFormat="1">
      <alignment vertical="bottom"/>
    </xf>
    <xf borderId="0" fillId="0" fontId="6" numFmtId="0" xfId="0" applyAlignment="1" applyFont="1">
      <alignment horizontal="right" vertical="bottom"/>
    </xf>
    <xf borderId="0" fillId="6" fontId="6" numFmtId="0" xfId="0" applyAlignment="1" applyFont="1">
      <alignment readingOrder="0" vertical="bottom"/>
    </xf>
    <xf borderId="0" fillId="2" fontId="6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readingOrder="0"/>
    </xf>
    <xf borderId="0" fillId="0" fontId="2" numFmtId="164" xfId="0" applyAlignment="1" applyFont="1" applyNumberFormat="1">
      <alignment horizontal="right" readingOrder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4" fontId="2" numFmtId="0" xfId="0" applyAlignment="1" applyFont="1">
      <alignment vertical="center"/>
    </xf>
    <xf borderId="1" fillId="0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0" fillId="0" fontId="6" numFmtId="0" xfId="0" applyFont="1"/>
    <xf borderId="0" fillId="4" fontId="1" numFmtId="0" xfId="0" applyAlignment="1" applyFont="1">
      <alignment horizontal="right" readingOrder="0"/>
    </xf>
    <xf borderId="0" fillId="0" fontId="6" numFmtId="0" xfId="0" applyFont="1"/>
    <xf borderId="1" fillId="4" fontId="1" numFmtId="0" xfId="0" applyAlignment="1" applyBorder="1" applyFont="1">
      <alignment horizontal="center"/>
    </xf>
    <xf borderId="0" fillId="0" fontId="6" numFmtId="0" xfId="0" applyFont="1"/>
    <xf borderId="0" fillId="0" fontId="1" numFmtId="0" xfId="0" applyAlignment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readingOrder="0" textRotation="90" vertical="center"/>
    </xf>
    <xf borderId="5" fillId="0" fontId="2" numFmtId="0" xfId="0" applyAlignment="1" applyBorder="1" applyFont="1">
      <alignment readingOrder="0" vertical="center"/>
    </xf>
    <xf borderId="5" fillId="0" fontId="2" numFmtId="164" xfId="0" applyAlignment="1" applyBorder="1" applyFont="1" applyNumberFormat="1">
      <alignment vertical="center"/>
    </xf>
    <xf borderId="5" fillId="0" fontId="2" numFmtId="0" xfId="0" applyAlignment="1" applyBorder="1" applyFont="1">
      <alignment vertical="center"/>
    </xf>
    <xf borderId="5" fillId="4" fontId="2" numFmtId="0" xfId="0" applyAlignment="1" applyBorder="1" applyFont="1">
      <alignment readingOrder="0" vertical="center"/>
    </xf>
    <xf borderId="5" fillId="4" fontId="2" numFmtId="164" xfId="0" applyAlignment="1" applyBorder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6" numFmtId="0" xfId="0" applyAlignment="1" applyFont="1">
      <alignment readingOrder="0" vertical="center"/>
    </xf>
    <xf borderId="0" fillId="0" fontId="6" numFmtId="164" xfId="0" applyAlignment="1" applyFont="1" applyNumberFormat="1">
      <alignment horizontal="right" vertical="center"/>
    </xf>
    <xf borderId="0" fillId="4" fontId="2" numFmtId="164" xfId="0" applyAlignment="1" applyFont="1" applyNumberFormat="1">
      <alignment vertical="center"/>
    </xf>
    <xf borderId="0" fillId="0" fontId="6" numFmtId="0" xfId="0" applyAlignment="1" applyFont="1">
      <alignment vertical="center"/>
    </xf>
    <xf borderId="6" fillId="0" fontId="4" numFmtId="0" xfId="0" applyBorder="1" applyFont="1"/>
    <xf borderId="6" fillId="0" fontId="2" numFmtId="0" xfId="0" applyAlignment="1" applyBorder="1" applyFont="1">
      <alignment readingOrder="0" shrinkToFit="0" vertical="center" wrapText="1"/>
    </xf>
    <xf borderId="6" fillId="0" fontId="2" numFmtId="164" xfId="0" applyAlignment="1" applyBorder="1" applyFont="1" applyNumberFormat="1">
      <alignment readingOrder="0" vertical="center"/>
    </xf>
    <xf borderId="6" fillId="0" fontId="2" numFmtId="0" xfId="0" applyAlignment="1" applyBorder="1" applyFont="1">
      <alignment vertical="center"/>
    </xf>
    <xf borderId="6" fillId="0" fontId="2" numFmtId="164" xfId="0" applyAlignment="1" applyBorder="1" applyFont="1" applyNumberFormat="1">
      <alignment vertical="center"/>
    </xf>
    <xf borderId="6" fillId="0" fontId="2" numFmtId="0" xfId="0" applyAlignment="1" applyBorder="1" applyFont="1">
      <alignment readingOrder="0" vertical="center"/>
    </xf>
    <xf borderId="6" fillId="4" fontId="2" numFmtId="0" xfId="0" applyAlignment="1" applyBorder="1" applyFont="1">
      <alignment vertical="center"/>
    </xf>
    <xf borderId="0" fillId="0" fontId="2" numFmtId="0" xfId="0" applyAlignment="1" applyFont="1">
      <alignment horizontal="center" readingOrder="0" shrinkToFit="0" textRotation="90" vertical="center" wrapText="1"/>
    </xf>
    <xf borderId="0" fillId="0" fontId="2" numFmtId="0" xfId="0" applyAlignment="1" applyFont="1">
      <alignment readingOrder="0" shrinkToFit="0" vertical="center" wrapText="1"/>
    </xf>
    <xf borderId="5" fillId="0" fontId="2" numFmtId="0" xfId="0" applyAlignment="1" applyBorder="1" applyFont="1">
      <alignment horizontal="center" readingOrder="0" shrinkToFit="0" textRotation="90" vertical="center" wrapText="1"/>
    </xf>
    <xf borderId="5" fillId="0" fontId="2" numFmtId="0" xfId="0" applyAlignment="1" applyBorder="1" applyFont="1">
      <alignment readingOrder="0" shrinkToFit="0" vertical="center" wrapText="1"/>
    </xf>
    <xf borderId="5" fillId="0" fontId="2" numFmtId="164" xfId="0" applyAlignment="1" applyBorder="1" applyFont="1" applyNumberFormat="1">
      <alignment readingOrder="0" vertical="center"/>
    </xf>
    <xf borderId="5" fillId="4" fontId="2" numFmtId="0" xfId="0" applyAlignment="1" applyBorder="1" applyFont="1">
      <alignment vertical="center"/>
    </xf>
    <xf borderId="0" fillId="0" fontId="2" numFmtId="0" xfId="0" applyAlignment="1" applyFont="1">
      <alignment horizontal="center" readingOrder="0" textRotation="90" vertical="center"/>
    </xf>
    <xf borderId="0" fillId="4" fontId="2" numFmtId="0" xfId="0" applyAlignment="1" applyFont="1">
      <alignment readingOrder="0" vertical="center"/>
    </xf>
    <xf borderId="5" fillId="4" fontId="2" numFmtId="164" xfId="0" applyAlignment="1" applyBorder="1" applyFont="1" applyNumberFormat="1">
      <alignment readingOrder="0" vertical="center"/>
    </xf>
    <xf borderId="6" fillId="4" fontId="2" numFmtId="164" xfId="0" applyAlignment="1" applyBorder="1" applyFont="1" applyNumberFormat="1">
      <alignment readingOrder="0" vertical="center"/>
    </xf>
    <xf borderId="0" fillId="0" fontId="1" numFmtId="0" xfId="0" applyAlignment="1" applyFont="1">
      <alignment horizontal="right" vertical="center"/>
    </xf>
    <xf borderId="0" fillId="0" fontId="5" numFmtId="164" xfId="0" applyAlignment="1" applyFont="1" applyNumberFormat="1">
      <alignment vertical="center"/>
    </xf>
    <xf borderId="0" fillId="0" fontId="5" numFmtId="0" xfId="0" applyAlignment="1" applyFont="1">
      <alignment vertical="center"/>
    </xf>
    <xf borderId="0" fillId="4" fontId="5" numFmtId="0" xfId="0" applyAlignment="1" applyFont="1">
      <alignment vertical="center"/>
    </xf>
    <xf borderId="0" fillId="4" fontId="5" numFmtId="164" xfId="0" applyAlignment="1" applyFont="1" applyNumberFormat="1">
      <alignment vertical="center"/>
    </xf>
    <xf borderId="0" fillId="5" fontId="1" numFmtId="0" xfId="0" applyAlignment="1" applyFont="1">
      <alignment horizontal="right" vertical="center"/>
    </xf>
    <xf borderId="0" fillId="5" fontId="5" numFmtId="164" xfId="0" applyAlignment="1" applyFont="1" applyNumberFormat="1">
      <alignment vertical="center"/>
    </xf>
    <xf borderId="0" fillId="0" fontId="5" numFmtId="0" xfId="0" applyAlignment="1" applyFont="1">
      <alignment horizontal="right" readingOrder="0" vertical="center"/>
    </xf>
    <xf borderId="4" fillId="4" fontId="6" numFmtId="164" xfId="0" applyAlignment="1" applyBorder="1" applyFont="1" applyNumberFormat="1">
      <alignment horizontal="center" readingOrder="0"/>
    </xf>
    <xf borderId="5" fillId="2" fontId="2" numFmtId="0" xfId="0" applyAlignment="1" applyBorder="1" applyFont="1">
      <alignment readingOrder="0" vertical="center"/>
    </xf>
    <xf borderId="5" fillId="2" fontId="2" numFmtId="0" xfId="0" applyAlignment="1" applyBorder="1" applyFont="1">
      <alignment vertical="center"/>
    </xf>
    <xf borderId="0" fillId="2" fontId="2" numFmtId="0" xfId="0" applyAlignment="1" applyFont="1">
      <alignment readingOrder="0" vertical="center"/>
    </xf>
    <xf borderId="0" fillId="0" fontId="2" numFmtId="168" xfId="0" applyAlignment="1" applyFont="1" applyNumberFormat="1">
      <alignment readingOrder="0" vertical="center"/>
    </xf>
    <xf borderId="0" fillId="2" fontId="2" numFmtId="0" xfId="0" applyAlignment="1" applyFont="1">
      <alignment vertical="center"/>
    </xf>
    <xf borderId="0" fillId="0" fontId="13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/>
    </xf>
    <xf borderId="0" fillId="2" fontId="3" numFmtId="169" xfId="0" applyAlignment="1" applyFont="1" applyNumberFormat="1">
      <alignment horizontal="center" readingOrder="0"/>
    </xf>
    <xf borderId="0" fillId="2" fontId="3" numFmtId="9" xfId="0" applyAlignment="1" applyFont="1" applyNumberFormat="1">
      <alignment horizontal="center" readingOrder="0"/>
    </xf>
    <xf borderId="0" fillId="2" fontId="3" numFmtId="170" xfId="0" applyAlignment="1" applyFont="1" applyNumberFormat="1">
      <alignment horizontal="center" readingOrder="0"/>
    </xf>
    <xf borderId="0" fillId="2" fontId="3" numFmtId="0" xfId="0" applyAlignment="1" applyFont="1">
      <alignment horizontal="center" readingOrder="0"/>
    </xf>
    <xf borderId="0" fillId="2" fontId="2" numFmtId="0" xfId="0" applyFont="1"/>
    <xf borderId="4" fillId="0" fontId="14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 shrinkToFit="0" wrapText="0"/>
    </xf>
    <xf borderId="0" fillId="2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4">
    <tableStyle count="2" pivot="0" name="CdC-style">
      <tableStyleElement dxfId="2" type="firstRowStripe"/>
      <tableStyleElement dxfId="3" type="secondRowStripe"/>
    </tableStyle>
    <tableStyle count="2" pivot="0" name="CdC-style 2">
      <tableStyleElement dxfId="2" type="firstRowStripe"/>
      <tableStyleElement dxfId="3" type="secondRowStripe"/>
    </tableStyle>
    <tableStyle count="2" pivot="0" name="CdC-style 3">
      <tableStyleElement dxfId="2" type="firstRowStripe"/>
      <tableStyleElement dxfId="3" type="secondRowStripe"/>
    </tableStyle>
    <tableStyle count="2" pivot="0" name="CdC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A7:BA79" displayName="Table_1" name="Table_1" id="1">
  <tableColumns count="1">
    <tableColumn name="Column1" id="1"/>
  </tableColumns>
  <tableStyleInfo name="CdC-style" showColumnStripes="0" showFirstColumn="1" showLastColumn="1" showRowStripes="1"/>
</table>
</file>

<file path=xl/tables/table2.xml><?xml version="1.0" encoding="utf-8"?>
<table xmlns="http://schemas.openxmlformats.org/spreadsheetml/2006/main" headerRowCount="0" ref="BA122" displayName="Table_2" name="Table_2" id="2">
  <tableColumns count="1">
    <tableColumn name="Column1" id="1"/>
  </tableColumns>
  <tableStyleInfo name="CdC-style 2" showColumnStripes="0" showFirstColumn="1" showLastColumn="1" showRowStripes="1"/>
</table>
</file>

<file path=xl/tables/table3.xml><?xml version="1.0" encoding="utf-8"?>
<table xmlns="http://schemas.openxmlformats.org/spreadsheetml/2006/main" headerRowCount="0" ref="BA123" displayName="Table_3" name="Table_3" id="3">
  <tableColumns count="1">
    <tableColumn name="Column1" id="1"/>
  </tableColumns>
  <tableStyleInfo name="CdC-style 3" showColumnStripes="0" showFirstColumn="1" showLastColumn="1" showRowStripes="1"/>
</table>
</file>

<file path=xl/tables/table4.xml><?xml version="1.0" encoding="utf-8"?>
<table xmlns="http://schemas.openxmlformats.org/spreadsheetml/2006/main" headerRowCount="0" ref="BA125" displayName="Table_4" name="Table_4" id="4">
  <tableColumns count="1">
    <tableColumn name="Column1" id="1"/>
  </tableColumns>
  <tableStyleInfo name="CdC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9.43"/>
    <col customWidth="1" min="2" max="2" width="57.43"/>
    <col customWidth="1" min="3" max="3" width="0.43"/>
    <col customWidth="1" min="4" max="4" width="8.71"/>
    <col customWidth="1" min="5" max="5" width="10.43"/>
    <col customWidth="1" min="6" max="6" width="8.71"/>
    <col customWidth="1" min="7" max="7" width="11.14"/>
    <col customWidth="1" min="8" max="8" width="8.71"/>
    <col customWidth="1" min="9" max="9" width="12.0"/>
    <col customWidth="1" min="10" max="10" width="8.71"/>
    <col customWidth="1" min="11" max="11" width="13.14"/>
    <col customWidth="1" min="12" max="12" width="8.71"/>
    <col customWidth="1" min="13" max="13" width="12.0"/>
    <col customWidth="1" min="14" max="14" width="8.71"/>
    <col customWidth="1" min="15" max="15" width="15.57"/>
    <col customWidth="1" min="16" max="16" width="8.71"/>
    <col customWidth="1" min="17" max="17" width="14.0"/>
    <col customWidth="1" min="18" max="18" width="11.14"/>
    <col customWidth="1" min="19" max="19" width="12.86"/>
    <col customWidth="1" min="20" max="20" width="8.71"/>
    <col customWidth="1" min="21" max="21" width="10.71"/>
    <col customWidth="1" min="22" max="22" width="8.71"/>
    <col customWidth="1" min="23" max="23" width="14.14"/>
    <col customWidth="1" min="24" max="24" width="8.71"/>
    <col customWidth="1" min="25" max="25" width="16.29"/>
    <col customWidth="1" min="26" max="26" width="8.71"/>
    <col customWidth="1" min="27" max="27" width="10.43"/>
    <col customWidth="1" min="28" max="28" width="8.71"/>
    <col customWidth="1" min="29" max="29" width="12.0"/>
    <col customWidth="1" min="30" max="30" width="8.71"/>
    <col customWidth="1" min="31" max="31" width="15.57"/>
    <col customWidth="1" min="32" max="32" width="8.71"/>
    <col customWidth="1" min="33" max="33" width="17.0"/>
    <col customWidth="1" min="34" max="36" width="8.71"/>
    <col customWidth="1" min="37" max="37" width="12.43"/>
    <col customWidth="1" min="38" max="38" width="8.71"/>
    <col customWidth="1" min="39" max="39" width="14.0"/>
    <col customWidth="1" min="40" max="40" width="8.71"/>
    <col customWidth="1" min="41" max="41" width="11.29"/>
    <col customWidth="1" min="42" max="42" width="8.71"/>
    <col customWidth="1" min="43" max="43" width="11.0"/>
    <col customWidth="1" min="44" max="44" width="8.71"/>
    <col customWidth="1" min="45" max="45" width="10.43"/>
    <col customWidth="1" min="46" max="46" width="8.71"/>
    <col customWidth="1" min="47" max="47" width="14.71"/>
    <col customWidth="1" min="48" max="48" width="8.71"/>
    <col customWidth="1" min="49" max="49" width="11.14"/>
    <col customWidth="1" min="50" max="50" width="8.71"/>
    <col customWidth="1" min="51" max="51" width="12.57"/>
    <col customWidth="1" min="52" max="52" width="8.71"/>
    <col customWidth="1" min="53" max="53" width="11.43"/>
    <col customWidth="1" min="54" max="54" width="8.71"/>
    <col customWidth="1" min="55" max="55" width="12.29"/>
    <col customWidth="1" min="56" max="56" width="11.14"/>
  </cols>
  <sheetData>
    <row r="1">
      <c r="A1" s="1"/>
      <c r="B1" s="1" t="s">
        <v>0</v>
      </c>
      <c r="C1" s="2"/>
      <c r="E1" s="2"/>
      <c r="G1" s="2"/>
      <c r="R1" s="3"/>
      <c r="S1" s="2"/>
      <c r="U1" s="2"/>
      <c r="BA1" s="4"/>
    </row>
    <row r="2">
      <c r="C2" s="2"/>
      <c r="E2" s="2"/>
      <c r="G2" s="2"/>
      <c r="R2" s="3"/>
      <c r="S2" s="2"/>
      <c r="U2" s="2"/>
      <c r="BA2" s="4"/>
    </row>
    <row r="3">
      <c r="C3" s="2"/>
      <c r="D3" s="5" t="s">
        <v>1</v>
      </c>
      <c r="E3" s="6"/>
      <c r="F3" s="7" t="s">
        <v>2</v>
      </c>
      <c r="G3" s="6"/>
      <c r="H3" s="8" t="s">
        <v>3</v>
      </c>
      <c r="I3" s="6"/>
      <c r="J3" s="7" t="s">
        <v>4</v>
      </c>
      <c r="K3" s="6"/>
      <c r="L3" s="7" t="s">
        <v>5</v>
      </c>
      <c r="M3" s="6"/>
      <c r="N3" s="7" t="s">
        <v>6</v>
      </c>
      <c r="O3" s="6"/>
      <c r="P3" s="9" t="s">
        <v>7</v>
      </c>
      <c r="Q3" s="6"/>
      <c r="R3" s="10" t="s">
        <v>8</v>
      </c>
      <c r="S3" s="6"/>
      <c r="T3" s="9" t="s">
        <v>9</v>
      </c>
      <c r="U3" s="6"/>
      <c r="V3" s="7" t="s">
        <v>10</v>
      </c>
      <c r="W3" s="6"/>
      <c r="X3" s="7" t="s">
        <v>11</v>
      </c>
      <c r="Y3" s="6"/>
      <c r="Z3" s="7" t="s">
        <v>12</v>
      </c>
      <c r="AA3" s="6"/>
      <c r="AB3" s="7" t="s">
        <v>13</v>
      </c>
      <c r="AC3" s="6"/>
      <c r="AD3" s="7" t="s">
        <v>14</v>
      </c>
      <c r="AE3" s="11"/>
      <c r="AF3" s="7" t="s">
        <v>15</v>
      </c>
      <c r="AG3" s="11"/>
      <c r="AH3" s="7" t="s">
        <v>16</v>
      </c>
      <c r="AI3" s="11"/>
      <c r="AJ3" s="7" t="s">
        <v>17</v>
      </c>
      <c r="AK3" s="11"/>
      <c r="AL3" s="7" t="s">
        <v>18</v>
      </c>
      <c r="AM3" s="11"/>
      <c r="AN3" s="7" t="s">
        <v>19</v>
      </c>
      <c r="AO3" s="11"/>
      <c r="AP3" s="12" t="s">
        <v>20</v>
      </c>
      <c r="AQ3" s="11"/>
      <c r="AR3" s="7" t="s">
        <v>21</v>
      </c>
      <c r="AS3" s="11"/>
      <c r="AT3" s="7" t="s">
        <v>22</v>
      </c>
      <c r="AU3" s="11"/>
      <c r="AV3" s="7" t="s">
        <v>23</v>
      </c>
      <c r="AW3" s="11"/>
      <c r="AX3" s="7" t="s">
        <v>24</v>
      </c>
      <c r="AY3" s="11"/>
      <c r="AZ3" s="7" t="s">
        <v>25</v>
      </c>
      <c r="BA3" s="11"/>
      <c r="BB3" s="7" t="s">
        <v>26</v>
      </c>
      <c r="BC3" s="11"/>
      <c r="BD3" s="13"/>
    </row>
    <row r="4">
      <c r="A4" s="14"/>
      <c r="B4" s="14" t="s">
        <v>27</v>
      </c>
      <c r="C4" s="2"/>
      <c r="D4" s="15"/>
      <c r="E4" s="11"/>
      <c r="F4" s="16" t="s">
        <v>28</v>
      </c>
      <c r="G4" s="11"/>
      <c r="H4" s="16" t="s">
        <v>29</v>
      </c>
      <c r="I4" s="11"/>
      <c r="J4" s="16" t="s">
        <v>29</v>
      </c>
      <c r="K4" s="11"/>
      <c r="L4" s="15"/>
      <c r="M4" s="11"/>
      <c r="N4" s="15"/>
      <c r="O4" s="11"/>
      <c r="P4" s="17" t="s">
        <v>30</v>
      </c>
      <c r="Q4" s="11"/>
      <c r="R4" s="18" t="s">
        <v>30</v>
      </c>
      <c r="S4" s="11"/>
      <c r="T4" s="17" t="s">
        <v>30</v>
      </c>
      <c r="U4" s="11"/>
      <c r="V4" s="16" t="s">
        <v>31</v>
      </c>
      <c r="W4" s="11"/>
      <c r="X4" s="16" t="s">
        <v>32</v>
      </c>
      <c r="Y4" s="11"/>
      <c r="Z4" s="15"/>
      <c r="AA4" s="11"/>
      <c r="AB4" s="16" t="s">
        <v>33</v>
      </c>
      <c r="AC4" s="11"/>
      <c r="AD4" s="16" t="s">
        <v>31</v>
      </c>
      <c r="AE4" s="11"/>
      <c r="AF4" s="15"/>
      <c r="AG4" s="11"/>
      <c r="AH4" s="16" t="s">
        <v>34</v>
      </c>
      <c r="AI4" s="11"/>
      <c r="AJ4" s="15"/>
      <c r="AK4" s="11"/>
      <c r="AL4" s="15"/>
      <c r="AM4" s="11"/>
      <c r="AN4" s="15"/>
      <c r="AO4" s="11"/>
      <c r="AP4" s="16"/>
      <c r="AQ4" s="11"/>
      <c r="AR4" s="15"/>
      <c r="AS4" s="11"/>
      <c r="AT4" s="16" t="s">
        <v>35</v>
      </c>
      <c r="AU4" s="11"/>
      <c r="AV4" s="16" t="s">
        <v>36</v>
      </c>
      <c r="AW4" s="11"/>
      <c r="AX4" s="15"/>
      <c r="AY4" s="11"/>
      <c r="AZ4" s="15"/>
      <c r="BA4" s="11"/>
      <c r="BB4" s="16" t="s">
        <v>34</v>
      </c>
      <c r="BC4" s="11"/>
      <c r="BD4" s="19"/>
    </row>
    <row r="5">
      <c r="A5" s="14"/>
      <c r="B5" s="14" t="s">
        <v>37</v>
      </c>
      <c r="C5" s="2"/>
      <c r="D5" s="15"/>
      <c r="E5" s="11"/>
      <c r="F5" s="15"/>
      <c r="G5" s="11"/>
      <c r="H5" s="20" t="s">
        <v>38</v>
      </c>
      <c r="I5" s="11"/>
      <c r="J5" s="20" t="s">
        <v>38</v>
      </c>
      <c r="K5" s="11"/>
      <c r="L5" s="15"/>
      <c r="M5" s="11"/>
      <c r="N5" s="15"/>
      <c r="O5" s="11"/>
      <c r="P5" s="21"/>
      <c r="Q5" s="11"/>
      <c r="R5" s="22"/>
      <c r="S5" s="11"/>
      <c r="T5" s="21"/>
      <c r="U5" s="11"/>
      <c r="V5" s="16">
        <v>3.48738628E9</v>
      </c>
      <c r="W5" s="11"/>
      <c r="X5" s="15"/>
      <c r="Y5" s="11"/>
      <c r="Z5" s="15"/>
      <c r="AA5" s="11"/>
      <c r="AB5" s="15"/>
      <c r="AC5" s="11"/>
      <c r="AD5" s="16">
        <v>3.48738628E9</v>
      </c>
      <c r="AE5" s="11"/>
      <c r="AF5" s="15"/>
      <c r="AG5" s="11"/>
      <c r="AH5" s="15"/>
      <c r="AI5" s="11"/>
      <c r="AJ5" s="15"/>
      <c r="AK5" s="11"/>
      <c r="AL5" s="15"/>
      <c r="AM5" s="11"/>
      <c r="AN5" s="15"/>
      <c r="AO5" s="11"/>
      <c r="AP5" s="16"/>
      <c r="AQ5" s="11"/>
      <c r="AR5" s="15"/>
      <c r="AS5" s="11"/>
      <c r="AT5" s="16">
        <v>3.334928612E9</v>
      </c>
      <c r="AU5" s="11"/>
      <c r="AV5" s="16">
        <v>3.396745925E9</v>
      </c>
      <c r="AW5" s="11"/>
      <c r="AX5" s="15"/>
      <c r="AY5" s="11"/>
      <c r="AZ5" s="15"/>
      <c r="BA5" s="11"/>
      <c r="BB5" s="16">
        <v>3.454876204E9</v>
      </c>
      <c r="BC5" s="11"/>
      <c r="BD5" s="19"/>
    </row>
    <row r="6">
      <c r="A6" s="14"/>
      <c r="B6" s="14" t="s">
        <v>39</v>
      </c>
      <c r="C6" s="2"/>
      <c r="D6" s="15"/>
      <c r="E6" s="11"/>
      <c r="F6" s="15"/>
      <c r="G6" s="11"/>
      <c r="H6" s="15"/>
      <c r="I6" s="11"/>
      <c r="J6" s="15"/>
      <c r="K6" s="11"/>
      <c r="L6" s="15"/>
      <c r="M6" s="11"/>
      <c r="N6" s="15"/>
      <c r="O6" s="11"/>
      <c r="P6" s="21"/>
      <c r="Q6" s="11"/>
      <c r="R6" s="22"/>
      <c r="S6" s="11"/>
      <c r="T6" s="21"/>
      <c r="U6" s="11"/>
      <c r="V6" s="15"/>
      <c r="W6" s="11"/>
      <c r="X6" s="23">
        <v>45793.0</v>
      </c>
      <c r="Y6" s="11"/>
      <c r="Z6" s="15"/>
      <c r="AA6" s="11"/>
      <c r="AB6" s="24">
        <v>45961.0</v>
      </c>
      <c r="AC6" s="11"/>
      <c r="AD6" s="15"/>
      <c r="AE6" s="11"/>
      <c r="AF6" s="24">
        <v>45976.0</v>
      </c>
      <c r="AG6" s="11"/>
      <c r="AH6" s="15"/>
      <c r="AI6" s="11"/>
      <c r="AJ6" s="15"/>
      <c r="AK6" s="11"/>
      <c r="AL6" s="15"/>
      <c r="AM6" s="11"/>
      <c r="AN6" s="15"/>
      <c r="AO6" s="11"/>
      <c r="AP6" s="16"/>
      <c r="AQ6" s="11"/>
      <c r="AR6" s="15"/>
      <c r="AS6" s="11"/>
      <c r="AT6" s="24">
        <v>46000.0</v>
      </c>
      <c r="AU6" s="11"/>
      <c r="AV6" s="23"/>
      <c r="AW6" s="11"/>
      <c r="AX6" s="15"/>
      <c r="AY6" s="11"/>
      <c r="AZ6" s="15"/>
      <c r="BA6" s="11"/>
      <c r="BB6" s="15"/>
      <c r="BC6" s="11"/>
      <c r="BD6" s="19"/>
    </row>
    <row r="7">
      <c r="A7" s="25"/>
      <c r="B7" s="25" t="s">
        <v>40</v>
      </c>
      <c r="C7" s="26" t="s">
        <v>41</v>
      </c>
      <c r="D7" s="27" t="s">
        <v>42</v>
      </c>
      <c r="E7" s="28" t="s">
        <v>43</v>
      </c>
      <c r="F7" s="27" t="s">
        <v>42</v>
      </c>
      <c r="G7" s="28" t="s">
        <v>43</v>
      </c>
      <c r="H7" s="27" t="s">
        <v>42</v>
      </c>
      <c r="I7" s="27" t="s">
        <v>43</v>
      </c>
      <c r="J7" s="27" t="s">
        <v>42</v>
      </c>
      <c r="K7" s="27" t="s">
        <v>43</v>
      </c>
      <c r="L7" s="27" t="s">
        <v>42</v>
      </c>
      <c r="M7" s="27" t="s">
        <v>43</v>
      </c>
      <c r="N7" s="27" t="s">
        <v>42</v>
      </c>
      <c r="O7" s="27" t="s">
        <v>43</v>
      </c>
      <c r="P7" s="29" t="s">
        <v>42</v>
      </c>
      <c r="Q7" s="29" t="s">
        <v>43</v>
      </c>
      <c r="R7" s="30" t="s">
        <v>42</v>
      </c>
      <c r="S7" s="31" t="s">
        <v>43</v>
      </c>
      <c r="T7" s="29" t="s">
        <v>42</v>
      </c>
      <c r="U7" s="31" t="s">
        <v>43</v>
      </c>
      <c r="V7" s="27" t="s">
        <v>42</v>
      </c>
      <c r="W7" s="27" t="s">
        <v>43</v>
      </c>
      <c r="X7" s="27" t="s">
        <v>42</v>
      </c>
      <c r="Y7" s="27" t="s">
        <v>43</v>
      </c>
      <c r="Z7" s="27" t="s">
        <v>42</v>
      </c>
      <c r="AA7" s="27" t="s">
        <v>43</v>
      </c>
      <c r="AB7" s="27" t="s">
        <v>42</v>
      </c>
      <c r="AC7" s="27" t="s">
        <v>43</v>
      </c>
      <c r="AD7" s="27" t="s">
        <v>42</v>
      </c>
      <c r="AE7" s="27" t="s">
        <v>43</v>
      </c>
      <c r="AF7" s="27" t="s">
        <v>42</v>
      </c>
      <c r="AG7" s="27" t="s">
        <v>43</v>
      </c>
      <c r="AH7" s="27" t="s">
        <v>42</v>
      </c>
      <c r="AI7" s="27" t="s">
        <v>43</v>
      </c>
      <c r="AJ7" s="27" t="s">
        <v>42</v>
      </c>
      <c r="AK7" s="27" t="s">
        <v>43</v>
      </c>
      <c r="AL7" s="27" t="s">
        <v>42</v>
      </c>
      <c r="AM7" s="27" t="s">
        <v>43</v>
      </c>
      <c r="AN7" s="27" t="s">
        <v>42</v>
      </c>
      <c r="AO7" s="27" t="s">
        <v>43</v>
      </c>
      <c r="AP7" s="27" t="s">
        <v>42</v>
      </c>
      <c r="AQ7" s="27" t="s">
        <v>43</v>
      </c>
      <c r="AR7" s="27" t="s">
        <v>42</v>
      </c>
      <c r="AS7" s="27" t="s">
        <v>43</v>
      </c>
      <c r="AT7" s="27" t="s">
        <v>42</v>
      </c>
      <c r="AU7" s="27" t="s">
        <v>43</v>
      </c>
      <c r="AV7" s="27" t="s">
        <v>42</v>
      </c>
      <c r="AW7" s="27" t="s">
        <v>43</v>
      </c>
      <c r="AX7" s="27" t="s">
        <v>42</v>
      </c>
      <c r="AY7" s="27" t="s">
        <v>43</v>
      </c>
      <c r="AZ7" s="27" t="s">
        <v>42</v>
      </c>
      <c r="BA7" s="32" t="s">
        <v>43</v>
      </c>
      <c r="BB7" s="27" t="s">
        <v>42</v>
      </c>
      <c r="BC7" s="27" t="s">
        <v>43</v>
      </c>
      <c r="BD7" s="19"/>
    </row>
    <row r="8">
      <c r="A8" s="33"/>
      <c r="B8" s="33" t="s">
        <v>44</v>
      </c>
      <c r="C8" s="2">
        <f>307.4*1.22</f>
        <v>375.028</v>
      </c>
      <c r="D8" s="34">
        <v>1.0</v>
      </c>
      <c r="E8" s="2">
        <f t="shared" ref="E8:E17" si="1">$C8*D8</f>
        <v>375.028</v>
      </c>
      <c r="G8" s="2">
        <f t="shared" ref="G8:G17" si="2">$C8*F8</f>
        <v>0</v>
      </c>
      <c r="I8" s="2">
        <f t="shared" ref="I8:I17" si="3">$C8*H8</f>
        <v>0</v>
      </c>
      <c r="K8" s="2">
        <f t="shared" ref="K8:K17" si="4">$C8*J8</f>
        <v>0</v>
      </c>
      <c r="L8" s="35">
        <v>9.0</v>
      </c>
      <c r="M8" s="2">
        <f t="shared" ref="M8:M94" si="5">$C8*L8</f>
        <v>3375.252</v>
      </c>
      <c r="O8" s="2">
        <f t="shared" ref="O8:O11" si="6">$C8*N8</f>
        <v>0</v>
      </c>
      <c r="Q8" s="2">
        <f t="shared" ref="Q8:Q113" si="7">$C8*P8</f>
        <v>0</v>
      </c>
      <c r="R8" s="3"/>
      <c r="S8" s="2">
        <f t="shared" ref="S8:S89" si="8">$C8*R8</f>
        <v>0</v>
      </c>
      <c r="U8" s="2">
        <f t="shared" ref="U8:U113" si="9">$C8*T8</f>
        <v>0</v>
      </c>
      <c r="W8" s="2">
        <f t="shared" ref="W8:W11" si="10">$C8*V8</f>
        <v>0</v>
      </c>
      <c r="Y8" s="2">
        <f t="shared" ref="Y8:Y11" si="11">$C8*X8</f>
        <v>0</v>
      </c>
      <c r="AA8" s="2">
        <f t="shared" ref="AA8:AA11" si="12">$C8*Z8</f>
        <v>0</v>
      </c>
      <c r="AC8" s="2">
        <f t="shared" ref="AC8:AC11" si="13">$C8*AB8</f>
        <v>0</v>
      </c>
      <c r="AE8" s="2">
        <f t="shared" ref="AE8:AE11" si="14">$C8*AD8</f>
        <v>0</v>
      </c>
      <c r="AG8" s="2">
        <f t="shared" ref="AG8:AG17" si="15">$C8*AF8</f>
        <v>0</v>
      </c>
      <c r="AI8" s="2">
        <f t="shared" ref="AI8:AI11" si="16">$C8*AH8</f>
        <v>0</v>
      </c>
      <c r="AK8" s="2">
        <f t="shared" ref="AK8:AK17" si="17">$C8*AJ8</f>
        <v>0</v>
      </c>
      <c r="AM8" s="2">
        <f t="shared" ref="AM8:AM33" si="18">$C8*AL8</f>
        <v>0</v>
      </c>
      <c r="AO8" s="2">
        <f t="shared" ref="AO8:AO11" si="19">$C8*AN8</f>
        <v>0</v>
      </c>
      <c r="AQ8" s="2">
        <f t="shared" ref="AQ8:AQ11" si="20">$C8*AP8</f>
        <v>0</v>
      </c>
      <c r="AS8" s="2">
        <f t="shared" ref="AS8:AS11" si="21">$C8*AR8</f>
        <v>0</v>
      </c>
      <c r="AT8" s="35">
        <v>6.0</v>
      </c>
      <c r="AU8" s="2">
        <f t="shared" ref="AU8:AU17" si="22">$C8*AT8</f>
        <v>2250.168</v>
      </c>
      <c r="AW8" s="2">
        <f t="shared" ref="AW8:AW12" si="23">$C8*AV8</f>
        <v>0</v>
      </c>
      <c r="AY8" s="2">
        <f t="shared" ref="AY8:AY17" si="24">$C8*AX8</f>
        <v>0</v>
      </c>
      <c r="AZ8" s="35">
        <v>0.0</v>
      </c>
      <c r="BA8" s="4">
        <f t="shared" ref="BA8:BA17" si="25">$C8*AZ8</f>
        <v>0</v>
      </c>
      <c r="BC8" s="2">
        <f t="shared" ref="BC8:BC11" si="26">$C8*BB8</f>
        <v>0</v>
      </c>
    </row>
    <row r="9">
      <c r="A9" s="33"/>
      <c r="B9" s="33" t="s">
        <v>45</v>
      </c>
      <c r="C9" s="2">
        <f>170.95*1.22</f>
        <v>208.559</v>
      </c>
      <c r="D9" s="34">
        <v>1.0</v>
      </c>
      <c r="E9" s="2">
        <f t="shared" si="1"/>
        <v>208.559</v>
      </c>
      <c r="F9" s="35">
        <v>10.0</v>
      </c>
      <c r="G9" s="2">
        <f t="shared" si="2"/>
        <v>2085.59</v>
      </c>
      <c r="H9" s="35">
        <v>20.0</v>
      </c>
      <c r="I9" s="2">
        <f t="shared" si="3"/>
        <v>4171.18</v>
      </c>
      <c r="J9" s="35">
        <v>70.0</v>
      </c>
      <c r="K9" s="2">
        <f t="shared" si="4"/>
        <v>14599.13</v>
      </c>
      <c r="L9" s="35">
        <v>11.0</v>
      </c>
      <c r="M9" s="2">
        <f t="shared" si="5"/>
        <v>2294.149</v>
      </c>
      <c r="O9" s="2">
        <f t="shared" si="6"/>
        <v>0</v>
      </c>
      <c r="Q9" s="2">
        <f t="shared" si="7"/>
        <v>0</v>
      </c>
      <c r="R9" s="3"/>
      <c r="S9" s="2">
        <f t="shared" si="8"/>
        <v>0</v>
      </c>
      <c r="U9" s="2">
        <f t="shared" si="9"/>
        <v>0</v>
      </c>
      <c r="W9" s="2">
        <f t="shared" si="10"/>
        <v>0</v>
      </c>
      <c r="Y9" s="2">
        <f t="shared" si="11"/>
        <v>0</v>
      </c>
      <c r="AA9" s="2">
        <f t="shared" si="12"/>
        <v>0</v>
      </c>
      <c r="AC9" s="2">
        <f t="shared" si="13"/>
        <v>0</v>
      </c>
      <c r="AE9" s="2">
        <f t="shared" si="14"/>
        <v>0</v>
      </c>
      <c r="AG9" s="2">
        <f t="shared" si="15"/>
        <v>0</v>
      </c>
      <c r="AI9" s="2">
        <f t="shared" si="16"/>
        <v>0</v>
      </c>
      <c r="AK9" s="2">
        <f t="shared" si="17"/>
        <v>0</v>
      </c>
      <c r="AM9" s="2">
        <f t="shared" si="18"/>
        <v>0</v>
      </c>
      <c r="AN9" s="35">
        <v>19.0</v>
      </c>
      <c r="AO9" s="2">
        <f t="shared" si="19"/>
        <v>3962.621</v>
      </c>
      <c r="AP9" s="35">
        <v>13.0</v>
      </c>
      <c r="AQ9" s="2">
        <f t="shared" si="20"/>
        <v>2711.267</v>
      </c>
      <c r="AR9" s="35">
        <v>13.0</v>
      </c>
      <c r="AS9" s="2">
        <f t="shared" si="21"/>
        <v>2711.267</v>
      </c>
      <c r="AT9" s="35">
        <v>38.0</v>
      </c>
      <c r="AU9" s="2">
        <f t="shared" si="22"/>
        <v>7925.242</v>
      </c>
      <c r="AW9" s="2">
        <f t="shared" si="23"/>
        <v>0</v>
      </c>
      <c r="AX9" s="35">
        <v>35.0</v>
      </c>
      <c r="AY9" s="2">
        <f t="shared" si="24"/>
        <v>7299.565</v>
      </c>
      <c r="AZ9" s="35">
        <v>8.0</v>
      </c>
      <c r="BA9" s="4">
        <f t="shared" si="25"/>
        <v>1668.472</v>
      </c>
      <c r="BC9" s="2">
        <f t="shared" si="26"/>
        <v>0</v>
      </c>
    </row>
    <row r="10">
      <c r="A10" s="33"/>
      <c r="B10" s="33" t="s">
        <v>46</v>
      </c>
      <c r="C10" s="2">
        <f>109.4*1.22</f>
        <v>133.468</v>
      </c>
      <c r="D10" s="34">
        <v>1.0</v>
      </c>
      <c r="E10" s="2">
        <f t="shared" si="1"/>
        <v>133.468</v>
      </c>
      <c r="F10" s="35">
        <v>24.0</v>
      </c>
      <c r="G10" s="2">
        <f t="shared" si="2"/>
        <v>3203.232</v>
      </c>
      <c r="H10" s="35">
        <v>28.0</v>
      </c>
      <c r="I10" s="2">
        <f t="shared" si="3"/>
        <v>3737.104</v>
      </c>
      <c r="J10" s="35">
        <v>102.0</v>
      </c>
      <c r="K10" s="2">
        <f t="shared" si="4"/>
        <v>13613.736</v>
      </c>
      <c r="L10" s="35">
        <v>16.0</v>
      </c>
      <c r="M10" s="2">
        <f t="shared" si="5"/>
        <v>2135.488</v>
      </c>
      <c r="O10" s="2">
        <f t="shared" si="6"/>
        <v>0</v>
      </c>
      <c r="Q10" s="2">
        <f t="shared" si="7"/>
        <v>0</v>
      </c>
      <c r="R10" s="3"/>
      <c r="S10" s="2">
        <f t="shared" si="8"/>
        <v>0</v>
      </c>
      <c r="U10" s="2">
        <f t="shared" si="9"/>
        <v>0</v>
      </c>
      <c r="W10" s="2">
        <f t="shared" si="10"/>
        <v>0</v>
      </c>
      <c r="Y10" s="2">
        <f t="shared" si="11"/>
        <v>0</v>
      </c>
      <c r="AA10" s="2">
        <f t="shared" si="12"/>
        <v>0</v>
      </c>
      <c r="AC10" s="2">
        <f t="shared" si="13"/>
        <v>0</v>
      </c>
      <c r="AE10" s="2">
        <f t="shared" si="14"/>
        <v>0</v>
      </c>
      <c r="AG10" s="2">
        <f t="shared" si="15"/>
        <v>0</v>
      </c>
      <c r="AI10" s="2">
        <f t="shared" si="16"/>
        <v>0</v>
      </c>
      <c r="AK10" s="2">
        <f t="shared" si="17"/>
        <v>0</v>
      </c>
      <c r="AM10" s="2">
        <f t="shared" si="18"/>
        <v>0</v>
      </c>
      <c r="AN10" s="35">
        <v>34.0</v>
      </c>
      <c r="AO10" s="2">
        <f t="shared" si="19"/>
        <v>4537.912</v>
      </c>
      <c r="AP10" s="35">
        <v>8.0</v>
      </c>
      <c r="AQ10" s="2">
        <f t="shared" si="20"/>
        <v>1067.744</v>
      </c>
      <c r="AR10" s="35">
        <v>26.0</v>
      </c>
      <c r="AS10" s="2">
        <f t="shared" si="21"/>
        <v>3470.168</v>
      </c>
      <c r="AT10" s="35">
        <v>58.0</v>
      </c>
      <c r="AU10" s="2">
        <f t="shared" si="22"/>
        <v>7741.144</v>
      </c>
      <c r="AW10" s="2">
        <f t="shared" si="23"/>
        <v>0</v>
      </c>
      <c r="AX10" s="35">
        <v>60.0</v>
      </c>
      <c r="AY10" s="2">
        <f t="shared" si="24"/>
        <v>8008.08</v>
      </c>
      <c r="AZ10" s="35">
        <v>16.0</v>
      </c>
      <c r="BA10" s="4">
        <f t="shared" si="25"/>
        <v>2135.488</v>
      </c>
      <c r="BC10" s="2">
        <f t="shared" si="26"/>
        <v>0</v>
      </c>
    </row>
    <row r="11">
      <c r="A11" s="33"/>
      <c r="B11" s="33" t="s">
        <v>47</v>
      </c>
      <c r="C11" s="2">
        <f>256.65*1.22</f>
        <v>313.113</v>
      </c>
      <c r="D11" s="34">
        <v>1.0</v>
      </c>
      <c r="E11" s="2">
        <f t="shared" si="1"/>
        <v>313.113</v>
      </c>
      <c r="G11" s="2">
        <f t="shared" si="2"/>
        <v>0</v>
      </c>
      <c r="I11" s="2">
        <f t="shared" si="3"/>
        <v>0</v>
      </c>
      <c r="K11" s="2">
        <f t="shared" si="4"/>
        <v>0</v>
      </c>
      <c r="L11" s="35">
        <v>10.0</v>
      </c>
      <c r="M11" s="2">
        <f t="shared" si="5"/>
        <v>3131.13</v>
      </c>
      <c r="O11" s="2">
        <f t="shared" si="6"/>
        <v>0</v>
      </c>
      <c r="P11" s="35">
        <v>12.0</v>
      </c>
      <c r="Q11" s="2">
        <f t="shared" si="7"/>
        <v>3757.356</v>
      </c>
      <c r="R11" s="36">
        <v>10.0</v>
      </c>
      <c r="S11" s="2">
        <f t="shared" si="8"/>
        <v>3131.13</v>
      </c>
      <c r="T11" s="35">
        <v>1.0</v>
      </c>
      <c r="U11" s="2">
        <f t="shared" si="9"/>
        <v>313.113</v>
      </c>
      <c r="W11" s="2">
        <f t="shared" si="10"/>
        <v>0</v>
      </c>
      <c r="Y11" s="2">
        <f t="shared" si="11"/>
        <v>0</v>
      </c>
      <c r="AA11" s="2">
        <f t="shared" si="12"/>
        <v>0</v>
      </c>
      <c r="AC11" s="2">
        <f t="shared" si="13"/>
        <v>0</v>
      </c>
      <c r="AE11" s="2">
        <f t="shared" si="14"/>
        <v>0</v>
      </c>
      <c r="AG11" s="2">
        <f t="shared" si="15"/>
        <v>0</v>
      </c>
      <c r="AI11" s="2">
        <f t="shared" si="16"/>
        <v>0</v>
      </c>
      <c r="AK11" s="2">
        <f t="shared" si="17"/>
        <v>0</v>
      </c>
      <c r="AM11" s="2">
        <f t="shared" si="18"/>
        <v>0</v>
      </c>
      <c r="AO11" s="2">
        <f t="shared" si="19"/>
        <v>0</v>
      </c>
      <c r="AQ11" s="2">
        <f t="shared" si="20"/>
        <v>0</v>
      </c>
      <c r="AS11" s="2">
        <f t="shared" si="21"/>
        <v>0</v>
      </c>
      <c r="AU11" s="2">
        <f t="shared" si="22"/>
        <v>0</v>
      </c>
      <c r="AW11" s="2">
        <f t="shared" si="23"/>
        <v>0</v>
      </c>
      <c r="AY11" s="2">
        <f t="shared" si="24"/>
        <v>0</v>
      </c>
      <c r="AZ11" s="35">
        <v>0.0</v>
      </c>
      <c r="BA11" s="4">
        <f t="shared" si="25"/>
        <v>0</v>
      </c>
      <c r="BC11" s="2">
        <f t="shared" si="26"/>
        <v>0</v>
      </c>
    </row>
    <row r="12">
      <c r="A12" s="37"/>
      <c r="B12" s="37" t="s">
        <v>48</v>
      </c>
      <c r="C12" s="38">
        <v>191.9</v>
      </c>
      <c r="E12" s="2">
        <f t="shared" si="1"/>
        <v>0</v>
      </c>
      <c r="F12" s="35">
        <v>9.0</v>
      </c>
      <c r="G12" s="2">
        <f t="shared" si="2"/>
        <v>1727.1</v>
      </c>
      <c r="H12" s="35">
        <v>16.0</v>
      </c>
      <c r="I12" s="2">
        <f t="shared" si="3"/>
        <v>3070.4</v>
      </c>
      <c r="J12" s="35">
        <v>40.0</v>
      </c>
      <c r="K12" s="2">
        <f t="shared" si="4"/>
        <v>7676</v>
      </c>
      <c r="M12" s="2">
        <f t="shared" si="5"/>
        <v>0</v>
      </c>
      <c r="Q12" s="2">
        <f t="shared" si="7"/>
        <v>0</v>
      </c>
      <c r="R12" s="3"/>
      <c r="S12" s="2">
        <f t="shared" si="8"/>
        <v>0</v>
      </c>
      <c r="U12" s="2">
        <f t="shared" si="9"/>
        <v>0</v>
      </c>
      <c r="W12" s="2">
        <f t="shared" ref="W12:W17" si="27">C12*V12</f>
        <v>0</v>
      </c>
      <c r="X12" s="35">
        <v>1.0</v>
      </c>
      <c r="Y12" s="2">
        <f t="shared" ref="Y12:Y17" si="28">C12*X12</f>
        <v>191.9</v>
      </c>
      <c r="AB12" s="35">
        <v>0.0</v>
      </c>
      <c r="AC12" s="2">
        <f t="shared" ref="AC12:AC17" si="29">C12*AB12</f>
        <v>0</v>
      </c>
      <c r="AE12" s="2">
        <f>K12*AD12</f>
        <v>0</v>
      </c>
      <c r="AF12" s="35">
        <v>15.0</v>
      </c>
      <c r="AG12" s="2">
        <f t="shared" si="15"/>
        <v>2878.5</v>
      </c>
      <c r="AJ12" s="35">
        <v>4.0</v>
      </c>
      <c r="AK12" s="2">
        <f t="shared" si="17"/>
        <v>767.6</v>
      </c>
      <c r="AL12" s="35">
        <v>3.0</v>
      </c>
      <c r="AM12" s="2">
        <f t="shared" si="18"/>
        <v>575.7</v>
      </c>
      <c r="AT12" s="35">
        <v>32.0</v>
      </c>
      <c r="AU12" s="2">
        <f t="shared" si="22"/>
        <v>6140.8</v>
      </c>
      <c r="AV12" s="35">
        <v>5.0</v>
      </c>
      <c r="AW12" s="2">
        <f t="shared" si="23"/>
        <v>959.5</v>
      </c>
      <c r="AX12" s="35">
        <v>24.0</v>
      </c>
      <c r="AY12" s="2">
        <f t="shared" si="24"/>
        <v>4605.6</v>
      </c>
      <c r="AZ12" s="35">
        <v>3.0</v>
      </c>
      <c r="BA12" s="4">
        <f t="shared" si="25"/>
        <v>575.7</v>
      </c>
    </row>
    <row r="13">
      <c r="A13" s="37"/>
      <c r="B13" s="37" t="s">
        <v>49</v>
      </c>
      <c r="C13" s="38">
        <v>202.0</v>
      </c>
      <c r="E13" s="2">
        <f t="shared" si="1"/>
        <v>0</v>
      </c>
      <c r="F13" s="35">
        <v>4.0</v>
      </c>
      <c r="G13" s="2">
        <f t="shared" si="2"/>
        <v>808</v>
      </c>
      <c r="H13" s="35">
        <v>4.0</v>
      </c>
      <c r="I13" s="2">
        <f t="shared" si="3"/>
        <v>808</v>
      </c>
      <c r="J13" s="35">
        <v>30.0</v>
      </c>
      <c r="K13" s="2">
        <f t="shared" si="4"/>
        <v>6060</v>
      </c>
      <c r="M13" s="2">
        <f t="shared" si="5"/>
        <v>0</v>
      </c>
      <c r="P13" s="35">
        <v>9.0</v>
      </c>
      <c r="Q13" s="2">
        <f t="shared" si="7"/>
        <v>1818</v>
      </c>
      <c r="R13" s="36">
        <v>7.0</v>
      </c>
      <c r="S13" s="2">
        <f t="shared" si="8"/>
        <v>1414</v>
      </c>
      <c r="T13" s="35">
        <v>4.0</v>
      </c>
      <c r="U13" s="2">
        <f t="shared" si="9"/>
        <v>808</v>
      </c>
      <c r="V13" s="35">
        <v>20.0</v>
      </c>
      <c r="W13" s="2">
        <f t="shared" si="27"/>
        <v>4040</v>
      </c>
      <c r="X13" s="35">
        <v>5.0</v>
      </c>
      <c r="Y13" s="2">
        <f t="shared" si="28"/>
        <v>1010</v>
      </c>
      <c r="AB13" s="35">
        <v>4.0</v>
      </c>
      <c r="AC13" s="2">
        <f t="shared" si="29"/>
        <v>808</v>
      </c>
      <c r="AD13" s="35">
        <v>6.0</v>
      </c>
      <c r="AE13" s="2">
        <f>C12*AD13</f>
        <v>1151.4</v>
      </c>
      <c r="AF13" s="35">
        <v>15.0</v>
      </c>
      <c r="AG13" s="2">
        <f t="shared" si="15"/>
        <v>3030</v>
      </c>
      <c r="AJ13" s="35">
        <v>5.0</v>
      </c>
      <c r="AK13" s="2">
        <f t="shared" si="17"/>
        <v>1010</v>
      </c>
      <c r="AL13" s="35">
        <v>20.0</v>
      </c>
      <c r="AM13" s="2">
        <f t="shared" si="18"/>
        <v>4040</v>
      </c>
      <c r="AT13" s="35">
        <v>2.0</v>
      </c>
      <c r="AU13" s="2">
        <f t="shared" si="22"/>
        <v>404</v>
      </c>
      <c r="AX13" s="35">
        <v>6.0</v>
      </c>
      <c r="AY13" s="2">
        <f t="shared" si="24"/>
        <v>1212</v>
      </c>
      <c r="AZ13" s="35">
        <v>6.0</v>
      </c>
      <c r="BA13" s="4">
        <f t="shared" si="25"/>
        <v>1212</v>
      </c>
    </row>
    <row r="14">
      <c r="A14" s="37"/>
      <c r="B14" s="37" t="s">
        <v>50</v>
      </c>
      <c r="C14" s="38">
        <v>7.4</v>
      </c>
      <c r="E14" s="2">
        <f t="shared" si="1"/>
        <v>0</v>
      </c>
      <c r="G14" s="2">
        <f t="shared" si="2"/>
        <v>0</v>
      </c>
      <c r="I14" s="2">
        <f t="shared" si="3"/>
        <v>0</v>
      </c>
      <c r="K14" s="2">
        <f t="shared" si="4"/>
        <v>0</v>
      </c>
      <c r="M14" s="2">
        <f t="shared" si="5"/>
        <v>0</v>
      </c>
      <c r="Q14" s="2">
        <f t="shared" si="7"/>
        <v>0</v>
      </c>
      <c r="R14" s="3"/>
      <c r="S14" s="2">
        <f t="shared" si="8"/>
        <v>0</v>
      </c>
      <c r="U14" s="2">
        <f t="shared" si="9"/>
        <v>0</v>
      </c>
      <c r="V14" s="35">
        <v>20.0</v>
      </c>
      <c r="W14" s="2">
        <f t="shared" si="27"/>
        <v>148</v>
      </c>
      <c r="X14" s="35">
        <v>6.0</v>
      </c>
      <c r="Y14" s="2">
        <f t="shared" si="28"/>
        <v>44.4</v>
      </c>
      <c r="AB14" s="35">
        <v>4.0</v>
      </c>
      <c r="AC14" s="2">
        <f t="shared" si="29"/>
        <v>29.6</v>
      </c>
      <c r="AD14" s="35">
        <v>6.0</v>
      </c>
      <c r="AE14" s="2">
        <f>K14*AD14</f>
        <v>0</v>
      </c>
      <c r="AF14" s="35">
        <v>15.0</v>
      </c>
      <c r="AG14" s="2">
        <f t="shared" si="15"/>
        <v>111</v>
      </c>
      <c r="AJ14" s="35">
        <v>9.0</v>
      </c>
      <c r="AK14" s="2">
        <f t="shared" si="17"/>
        <v>66.6</v>
      </c>
      <c r="AL14" s="35">
        <v>25.0</v>
      </c>
      <c r="AM14" s="2">
        <f t="shared" si="18"/>
        <v>185</v>
      </c>
      <c r="AT14" s="35">
        <v>31.0</v>
      </c>
      <c r="AU14" s="2">
        <f t="shared" si="22"/>
        <v>229.4</v>
      </c>
      <c r="AV14" s="35">
        <v>5.0</v>
      </c>
      <c r="AW14" s="2">
        <f t="shared" ref="AW14:AW15" si="30">C14*AV14</f>
        <v>37</v>
      </c>
      <c r="AX14" s="35">
        <v>27.0</v>
      </c>
      <c r="AY14" s="2">
        <f t="shared" si="24"/>
        <v>199.8</v>
      </c>
      <c r="AZ14" s="35">
        <v>8.0</v>
      </c>
      <c r="BA14" s="4">
        <f t="shared" si="25"/>
        <v>59.2</v>
      </c>
    </row>
    <row r="15">
      <c r="A15" s="37"/>
      <c r="B15" s="37" t="s">
        <v>51</v>
      </c>
      <c r="C15" s="38">
        <v>70.7</v>
      </c>
      <c r="E15" s="2">
        <f t="shared" si="1"/>
        <v>0</v>
      </c>
      <c r="F15" s="35">
        <v>13.0</v>
      </c>
      <c r="G15" s="2">
        <f t="shared" si="2"/>
        <v>919.1</v>
      </c>
      <c r="H15" s="35">
        <v>20.0</v>
      </c>
      <c r="I15" s="2">
        <f t="shared" si="3"/>
        <v>1414</v>
      </c>
      <c r="J15" s="35">
        <v>70.0</v>
      </c>
      <c r="K15" s="2">
        <f t="shared" si="4"/>
        <v>4949</v>
      </c>
      <c r="M15" s="2">
        <f t="shared" si="5"/>
        <v>0</v>
      </c>
      <c r="P15" s="35">
        <v>9.0</v>
      </c>
      <c r="Q15" s="2">
        <f t="shared" si="7"/>
        <v>636.3</v>
      </c>
      <c r="R15" s="36">
        <v>5.0</v>
      </c>
      <c r="S15" s="2">
        <f t="shared" si="8"/>
        <v>353.5</v>
      </c>
      <c r="T15" s="35">
        <v>5.0</v>
      </c>
      <c r="U15" s="2">
        <f t="shared" si="9"/>
        <v>353.5</v>
      </c>
      <c r="V15" s="35">
        <v>40.0</v>
      </c>
      <c r="W15" s="2">
        <f t="shared" si="27"/>
        <v>2828</v>
      </c>
      <c r="X15" s="35">
        <v>6.0</v>
      </c>
      <c r="Y15" s="2">
        <f t="shared" si="28"/>
        <v>424.2</v>
      </c>
      <c r="AB15" s="35">
        <v>4.0</v>
      </c>
      <c r="AC15" s="2">
        <f t="shared" si="29"/>
        <v>282.8</v>
      </c>
      <c r="AD15" s="35">
        <v>6.0</v>
      </c>
      <c r="AE15" s="2">
        <f t="shared" ref="AE15:AE17" si="31">C14*AD15</f>
        <v>44.4</v>
      </c>
      <c r="AF15" s="35">
        <v>15.0</v>
      </c>
      <c r="AG15" s="2">
        <f t="shared" si="15"/>
        <v>1060.5</v>
      </c>
      <c r="AJ15" s="35">
        <v>9.0</v>
      </c>
      <c r="AK15" s="2">
        <f t="shared" si="17"/>
        <v>636.3</v>
      </c>
      <c r="AL15" s="35">
        <v>25.0</v>
      </c>
      <c r="AM15" s="2">
        <f t="shared" si="18"/>
        <v>1767.5</v>
      </c>
      <c r="AT15" s="35">
        <v>31.0</v>
      </c>
      <c r="AU15" s="2">
        <f t="shared" si="22"/>
        <v>2191.7</v>
      </c>
      <c r="AV15" s="35">
        <v>5.0</v>
      </c>
      <c r="AW15" s="2">
        <f t="shared" si="30"/>
        <v>353.5</v>
      </c>
      <c r="AX15" s="35">
        <v>27.0</v>
      </c>
      <c r="AY15" s="2">
        <f t="shared" si="24"/>
        <v>1908.9</v>
      </c>
      <c r="AZ15" s="35">
        <v>8.0</v>
      </c>
      <c r="BA15" s="4">
        <f t="shared" si="25"/>
        <v>565.6</v>
      </c>
    </row>
    <row r="16">
      <c r="A16" s="37"/>
      <c r="B16" s="37" t="s">
        <v>52</v>
      </c>
      <c r="C16" s="38">
        <v>132.65</v>
      </c>
      <c r="E16" s="2">
        <f t="shared" si="1"/>
        <v>0</v>
      </c>
      <c r="F16" s="35">
        <v>3.0</v>
      </c>
      <c r="G16" s="2">
        <f t="shared" si="2"/>
        <v>397.95</v>
      </c>
      <c r="H16" s="35">
        <v>4.0</v>
      </c>
      <c r="I16" s="2">
        <f t="shared" si="3"/>
        <v>530.6</v>
      </c>
      <c r="J16" s="35">
        <v>30.0</v>
      </c>
      <c r="K16" s="2">
        <f t="shared" si="4"/>
        <v>3979.5</v>
      </c>
      <c r="M16" s="2">
        <f t="shared" si="5"/>
        <v>0</v>
      </c>
      <c r="P16" s="35">
        <v>2.0</v>
      </c>
      <c r="Q16" s="2">
        <f t="shared" si="7"/>
        <v>265.3</v>
      </c>
      <c r="R16" s="3"/>
      <c r="S16" s="2">
        <f t="shared" si="8"/>
        <v>0</v>
      </c>
      <c r="U16" s="2">
        <f t="shared" si="9"/>
        <v>0</v>
      </c>
      <c r="V16" s="35">
        <v>20.0</v>
      </c>
      <c r="W16" s="2">
        <f t="shared" si="27"/>
        <v>2653</v>
      </c>
      <c r="X16" s="35">
        <v>6.0</v>
      </c>
      <c r="Y16" s="2">
        <f t="shared" si="28"/>
        <v>795.9</v>
      </c>
      <c r="AB16" s="35">
        <v>4.0</v>
      </c>
      <c r="AC16" s="2">
        <f t="shared" si="29"/>
        <v>530.6</v>
      </c>
      <c r="AD16" s="35">
        <v>6.0</v>
      </c>
      <c r="AE16" s="2">
        <f t="shared" si="31"/>
        <v>424.2</v>
      </c>
      <c r="AF16" s="35">
        <v>15.0</v>
      </c>
      <c r="AG16" s="2">
        <f t="shared" si="15"/>
        <v>1989.75</v>
      </c>
      <c r="AK16" s="2">
        <f t="shared" si="17"/>
        <v>0</v>
      </c>
      <c r="AL16" s="35">
        <v>20.0</v>
      </c>
      <c r="AM16" s="2">
        <f t="shared" si="18"/>
        <v>2653</v>
      </c>
      <c r="AU16" s="2">
        <f t="shared" si="22"/>
        <v>0</v>
      </c>
      <c r="AX16" s="35">
        <v>0.0</v>
      </c>
      <c r="AY16" s="2">
        <f t="shared" si="24"/>
        <v>0</v>
      </c>
      <c r="AZ16" s="35">
        <v>5.0</v>
      </c>
      <c r="BA16" s="4">
        <f t="shared" si="25"/>
        <v>663.25</v>
      </c>
    </row>
    <row r="17">
      <c r="A17" s="37"/>
      <c r="B17" s="37" t="s">
        <v>53</v>
      </c>
      <c r="C17" s="38">
        <v>222.21</v>
      </c>
      <c r="E17" s="2">
        <f t="shared" si="1"/>
        <v>0</v>
      </c>
      <c r="F17" s="35">
        <v>12.0</v>
      </c>
      <c r="G17" s="2">
        <f t="shared" si="2"/>
        <v>2666.52</v>
      </c>
      <c r="H17" s="35">
        <v>20.0</v>
      </c>
      <c r="I17" s="2">
        <f t="shared" si="3"/>
        <v>4444.2</v>
      </c>
      <c r="J17" s="35">
        <v>70.0</v>
      </c>
      <c r="K17" s="2">
        <f t="shared" si="4"/>
        <v>15554.7</v>
      </c>
      <c r="L17" s="35">
        <v>9.0</v>
      </c>
      <c r="M17" s="2">
        <f t="shared" si="5"/>
        <v>1999.89</v>
      </c>
      <c r="P17" s="35">
        <v>11.0</v>
      </c>
      <c r="Q17" s="2">
        <f t="shared" si="7"/>
        <v>2444.31</v>
      </c>
      <c r="R17" s="36">
        <v>10.0</v>
      </c>
      <c r="S17" s="2">
        <f t="shared" si="8"/>
        <v>2222.1</v>
      </c>
      <c r="T17" s="35">
        <v>8.0</v>
      </c>
      <c r="U17" s="2">
        <f t="shared" si="9"/>
        <v>1777.68</v>
      </c>
      <c r="V17" s="35">
        <v>20.0</v>
      </c>
      <c r="W17" s="2">
        <f t="shared" si="27"/>
        <v>4444.2</v>
      </c>
      <c r="X17" s="35">
        <v>6.0</v>
      </c>
      <c r="Y17" s="2">
        <f t="shared" si="28"/>
        <v>1333.26</v>
      </c>
      <c r="AB17" s="35">
        <v>4.0</v>
      </c>
      <c r="AC17" s="2">
        <f t="shared" si="29"/>
        <v>888.84</v>
      </c>
      <c r="AD17" s="35">
        <v>6.0</v>
      </c>
      <c r="AE17" s="2">
        <f t="shared" si="31"/>
        <v>795.9</v>
      </c>
      <c r="AF17" s="35">
        <v>15.0</v>
      </c>
      <c r="AG17" s="2">
        <f t="shared" si="15"/>
        <v>3333.15</v>
      </c>
      <c r="AJ17" s="35">
        <v>9.0</v>
      </c>
      <c r="AK17" s="2">
        <f t="shared" si="17"/>
        <v>1999.89</v>
      </c>
      <c r="AL17" s="35">
        <v>25.0</v>
      </c>
      <c r="AM17" s="2">
        <f t="shared" si="18"/>
        <v>5555.25</v>
      </c>
      <c r="AN17" s="35">
        <v>19.0</v>
      </c>
      <c r="AO17" s="35">
        <v>4222.0</v>
      </c>
      <c r="AP17" s="35">
        <v>6.0</v>
      </c>
      <c r="AQ17" s="35">
        <v>1333.0</v>
      </c>
      <c r="AR17" s="35">
        <v>14.0</v>
      </c>
      <c r="AS17" s="35">
        <v>3110.94</v>
      </c>
      <c r="AT17" s="35">
        <v>36.0</v>
      </c>
      <c r="AU17" s="2">
        <f t="shared" si="22"/>
        <v>7999.56</v>
      </c>
      <c r="AV17" s="35">
        <v>5.0</v>
      </c>
      <c r="AW17" s="2">
        <f>C17*AV17</f>
        <v>1111.05</v>
      </c>
      <c r="AX17" s="35">
        <v>29.0</v>
      </c>
      <c r="AY17" s="2">
        <f t="shared" si="24"/>
        <v>6444.09</v>
      </c>
      <c r="AZ17" s="35">
        <v>8.0</v>
      </c>
      <c r="BA17" s="4">
        <f t="shared" si="25"/>
        <v>1777.68</v>
      </c>
    </row>
    <row r="18">
      <c r="A18" s="37"/>
      <c r="B18" s="37" t="s">
        <v>54</v>
      </c>
      <c r="C18" s="38">
        <v>560.0</v>
      </c>
      <c r="D18" s="35"/>
      <c r="E18" s="2"/>
      <c r="F18" s="35"/>
      <c r="G18" s="2"/>
      <c r="H18" s="35"/>
      <c r="I18" s="2"/>
      <c r="J18" s="35"/>
      <c r="K18" s="2"/>
      <c r="L18" s="35">
        <v>6.0</v>
      </c>
      <c r="M18" s="2">
        <f t="shared" si="5"/>
        <v>3360</v>
      </c>
      <c r="Q18" s="2">
        <f t="shared" si="7"/>
        <v>0</v>
      </c>
      <c r="R18" s="3"/>
      <c r="S18" s="2">
        <f t="shared" si="8"/>
        <v>0</v>
      </c>
      <c r="U18" s="2">
        <f t="shared" si="9"/>
        <v>0</v>
      </c>
      <c r="X18" s="35"/>
      <c r="AB18" s="35"/>
      <c r="AF18" s="35"/>
      <c r="AK18" s="2"/>
      <c r="AL18" s="35">
        <v>1.0</v>
      </c>
      <c r="AM18" s="2">
        <f t="shared" si="18"/>
        <v>560</v>
      </c>
      <c r="AT18" s="35"/>
      <c r="AX18" s="35"/>
      <c r="AY18" s="2"/>
      <c r="AZ18" s="35"/>
      <c r="BA18" s="4"/>
    </row>
    <row r="19">
      <c r="A19" s="37"/>
      <c r="B19" s="37" t="s">
        <v>55</v>
      </c>
      <c r="C19" s="38">
        <v>480.0</v>
      </c>
      <c r="D19" s="35"/>
      <c r="E19" s="2"/>
      <c r="F19" s="35"/>
      <c r="G19" s="2"/>
      <c r="H19" s="35"/>
      <c r="I19" s="2"/>
      <c r="J19" s="35"/>
      <c r="K19" s="2"/>
      <c r="M19" s="2">
        <f t="shared" si="5"/>
        <v>0</v>
      </c>
      <c r="Q19" s="2">
        <f t="shared" si="7"/>
        <v>0</v>
      </c>
      <c r="R19" s="3"/>
      <c r="S19" s="2">
        <f t="shared" si="8"/>
        <v>0</v>
      </c>
      <c r="U19" s="2">
        <f t="shared" si="9"/>
        <v>0</v>
      </c>
      <c r="X19" s="35"/>
      <c r="AB19" s="35"/>
      <c r="AF19" s="35"/>
      <c r="AK19" s="2"/>
      <c r="AL19" s="35">
        <v>1.0</v>
      </c>
      <c r="AM19" s="2">
        <f t="shared" si="18"/>
        <v>480</v>
      </c>
      <c r="AT19" s="35"/>
      <c r="AX19" s="35"/>
      <c r="AY19" s="2"/>
      <c r="AZ19" s="35"/>
      <c r="BA19" s="4"/>
    </row>
    <row r="20">
      <c r="A20" s="37"/>
      <c r="B20" s="37" t="s">
        <v>56</v>
      </c>
      <c r="C20" s="38">
        <v>588.0</v>
      </c>
      <c r="D20" s="35"/>
      <c r="E20" s="2"/>
      <c r="F20" s="35"/>
      <c r="G20" s="2"/>
      <c r="H20" s="35"/>
      <c r="I20" s="2"/>
      <c r="J20" s="35"/>
      <c r="K20" s="2"/>
      <c r="M20" s="2">
        <f t="shared" si="5"/>
        <v>0</v>
      </c>
      <c r="Q20" s="2">
        <f t="shared" si="7"/>
        <v>0</v>
      </c>
      <c r="R20" s="3"/>
      <c r="S20" s="2">
        <f t="shared" si="8"/>
        <v>0</v>
      </c>
      <c r="T20" s="35">
        <v>2.0</v>
      </c>
      <c r="U20" s="2">
        <f t="shared" si="9"/>
        <v>1176</v>
      </c>
      <c r="X20" s="35"/>
      <c r="AB20" s="35"/>
      <c r="AF20" s="35"/>
      <c r="AK20" s="2"/>
      <c r="AL20" s="35">
        <v>1.0</v>
      </c>
      <c r="AM20" s="2">
        <f t="shared" si="18"/>
        <v>588</v>
      </c>
      <c r="AT20" s="35"/>
      <c r="AX20" s="35"/>
      <c r="AY20" s="2"/>
      <c r="AZ20" s="35"/>
      <c r="BA20" s="4"/>
    </row>
    <row r="21">
      <c r="A21" s="37"/>
      <c r="B21" s="37" t="s">
        <v>57</v>
      </c>
      <c r="C21" s="38">
        <v>368.0</v>
      </c>
      <c r="D21" s="35"/>
      <c r="E21" s="2"/>
      <c r="F21" s="35"/>
      <c r="G21" s="2"/>
      <c r="H21" s="35"/>
      <c r="I21" s="2"/>
      <c r="J21" s="35"/>
      <c r="K21" s="2"/>
      <c r="M21" s="2">
        <f t="shared" si="5"/>
        <v>0</v>
      </c>
      <c r="Q21" s="2">
        <f t="shared" si="7"/>
        <v>0</v>
      </c>
      <c r="R21" s="3"/>
      <c r="S21" s="2">
        <f t="shared" si="8"/>
        <v>0</v>
      </c>
      <c r="T21" s="35">
        <v>2.0</v>
      </c>
      <c r="U21" s="2">
        <f t="shared" si="9"/>
        <v>736</v>
      </c>
      <c r="X21" s="35"/>
      <c r="AB21" s="35"/>
      <c r="AF21" s="35"/>
      <c r="AK21" s="2"/>
      <c r="AL21" s="35">
        <v>2.0</v>
      </c>
      <c r="AM21" s="2">
        <f t="shared" si="18"/>
        <v>736</v>
      </c>
      <c r="AT21" s="35"/>
      <c r="AX21" s="35"/>
      <c r="AY21" s="2"/>
      <c r="AZ21" s="35"/>
      <c r="BA21" s="4"/>
    </row>
    <row r="22">
      <c r="A22" s="37"/>
      <c r="B22" s="37" t="s">
        <v>58</v>
      </c>
      <c r="C22" s="38">
        <v>780.0</v>
      </c>
      <c r="D22" s="35"/>
      <c r="E22" s="2"/>
      <c r="F22" s="35"/>
      <c r="G22" s="2"/>
      <c r="H22" s="35"/>
      <c r="I22" s="2"/>
      <c r="J22" s="35"/>
      <c r="K22" s="2"/>
      <c r="M22" s="2">
        <f t="shared" si="5"/>
        <v>0</v>
      </c>
      <c r="Q22" s="2">
        <f t="shared" si="7"/>
        <v>0</v>
      </c>
      <c r="R22" s="3"/>
      <c r="S22" s="2">
        <f t="shared" si="8"/>
        <v>0</v>
      </c>
      <c r="U22" s="2">
        <f t="shared" si="9"/>
        <v>0</v>
      </c>
      <c r="X22" s="35"/>
      <c r="AB22" s="35"/>
      <c r="AF22" s="35"/>
      <c r="AK22" s="2"/>
      <c r="AL22" s="35">
        <v>1.0</v>
      </c>
      <c r="AM22" s="2">
        <f t="shared" si="18"/>
        <v>780</v>
      </c>
      <c r="AT22" s="35"/>
      <c r="AX22" s="35"/>
      <c r="AY22" s="2"/>
      <c r="AZ22" s="35"/>
      <c r="BA22" s="4"/>
    </row>
    <row r="23">
      <c r="A23" s="37"/>
      <c r="B23" s="37" t="s">
        <v>59</v>
      </c>
      <c r="C23" s="38">
        <v>480.0</v>
      </c>
      <c r="D23" s="35"/>
      <c r="E23" s="2"/>
      <c r="F23" s="35"/>
      <c r="G23" s="2"/>
      <c r="H23" s="35"/>
      <c r="I23" s="2"/>
      <c r="J23" s="35"/>
      <c r="K23" s="2"/>
      <c r="M23" s="2">
        <f t="shared" si="5"/>
        <v>0</v>
      </c>
      <c r="Q23" s="2">
        <f t="shared" si="7"/>
        <v>0</v>
      </c>
      <c r="R23" s="3"/>
      <c r="S23" s="2">
        <f t="shared" si="8"/>
        <v>0</v>
      </c>
      <c r="T23" s="35">
        <v>2.0</v>
      </c>
      <c r="U23" s="2">
        <f t="shared" si="9"/>
        <v>960</v>
      </c>
      <c r="X23" s="35"/>
      <c r="AB23" s="35"/>
      <c r="AF23" s="35"/>
      <c r="AK23" s="2"/>
      <c r="AL23" s="35">
        <v>1.0</v>
      </c>
      <c r="AM23" s="2">
        <f t="shared" si="18"/>
        <v>480</v>
      </c>
      <c r="AT23" s="35"/>
      <c r="AX23" s="35"/>
      <c r="AY23" s="2"/>
      <c r="AZ23" s="35"/>
      <c r="BA23" s="4"/>
    </row>
    <row r="24">
      <c r="A24" s="37"/>
      <c r="B24" s="37" t="s">
        <v>60</v>
      </c>
      <c r="C24" s="38">
        <v>612.0</v>
      </c>
      <c r="D24" s="35"/>
      <c r="E24" s="2"/>
      <c r="F24" s="35"/>
      <c r="G24" s="2"/>
      <c r="H24" s="35"/>
      <c r="I24" s="2"/>
      <c r="J24" s="35"/>
      <c r="K24" s="2"/>
      <c r="M24" s="2">
        <f t="shared" si="5"/>
        <v>0</v>
      </c>
      <c r="Q24" s="2">
        <f t="shared" si="7"/>
        <v>0</v>
      </c>
      <c r="R24" s="3"/>
      <c r="S24" s="2">
        <f t="shared" si="8"/>
        <v>0</v>
      </c>
      <c r="U24" s="2">
        <f t="shared" si="9"/>
        <v>0</v>
      </c>
      <c r="X24" s="35"/>
      <c r="AB24" s="35"/>
      <c r="AF24" s="35"/>
      <c r="AK24" s="2"/>
      <c r="AL24" s="35">
        <v>1.0</v>
      </c>
      <c r="AM24" s="2">
        <f t="shared" si="18"/>
        <v>612</v>
      </c>
      <c r="AT24" s="35"/>
      <c r="AX24" s="35"/>
      <c r="AY24" s="2"/>
      <c r="AZ24" s="35"/>
      <c r="BA24" s="4"/>
    </row>
    <row r="25">
      <c r="A25" s="37"/>
      <c r="B25" s="37" t="s">
        <v>61</v>
      </c>
      <c r="C25" s="38">
        <v>766.0</v>
      </c>
      <c r="D25" s="35"/>
      <c r="E25" s="2"/>
      <c r="F25" s="35"/>
      <c r="G25" s="2"/>
      <c r="H25" s="35"/>
      <c r="I25" s="2"/>
      <c r="J25" s="35"/>
      <c r="K25" s="2"/>
      <c r="M25" s="2">
        <f t="shared" si="5"/>
        <v>0</v>
      </c>
      <c r="P25" s="35">
        <v>1.0</v>
      </c>
      <c r="Q25" s="2">
        <f t="shared" si="7"/>
        <v>766</v>
      </c>
      <c r="R25" s="36">
        <v>1.0</v>
      </c>
      <c r="S25" s="2">
        <f t="shared" si="8"/>
        <v>766</v>
      </c>
      <c r="T25" s="35">
        <v>2.0</v>
      </c>
      <c r="U25" s="2">
        <f t="shared" si="9"/>
        <v>1532</v>
      </c>
      <c r="X25" s="35"/>
      <c r="AB25" s="35"/>
      <c r="AF25" s="35"/>
      <c r="AK25" s="2"/>
      <c r="AL25" s="35">
        <v>2.0</v>
      </c>
      <c r="AM25" s="2">
        <f t="shared" si="18"/>
        <v>1532</v>
      </c>
      <c r="AT25" s="35"/>
      <c r="AX25" s="35"/>
      <c r="AY25" s="2"/>
      <c r="AZ25" s="35"/>
      <c r="BA25" s="4"/>
    </row>
    <row r="26">
      <c r="A26" s="37"/>
      <c r="B26" s="37" t="s">
        <v>62</v>
      </c>
      <c r="C26" s="38">
        <v>128.0</v>
      </c>
      <c r="D26" s="35"/>
      <c r="E26" s="2"/>
      <c r="F26" s="35"/>
      <c r="G26" s="2"/>
      <c r="H26" s="35"/>
      <c r="I26" s="2"/>
      <c r="J26" s="35"/>
      <c r="K26" s="2"/>
      <c r="M26" s="2">
        <f t="shared" si="5"/>
        <v>0</v>
      </c>
      <c r="P26" s="35">
        <v>1.0</v>
      </c>
      <c r="Q26" s="2">
        <f t="shared" si="7"/>
        <v>128</v>
      </c>
      <c r="R26" s="36">
        <v>1.0</v>
      </c>
      <c r="S26" s="2">
        <f t="shared" si="8"/>
        <v>128</v>
      </c>
      <c r="T26" s="35">
        <v>4.0</v>
      </c>
      <c r="U26" s="2">
        <f t="shared" si="9"/>
        <v>512</v>
      </c>
      <c r="X26" s="35"/>
      <c r="AB26" s="35"/>
      <c r="AF26" s="35"/>
      <c r="AK26" s="2"/>
      <c r="AL26" s="35">
        <v>2.0</v>
      </c>
      <c r="AM26" s="2">
        <f t="shared" si="18"/>
        <v>256</v>
      </c>
      <c r="AT26" s="35"/>
      <c r="AX26" s="35"/>
      <c r="AY26" s="2"/>
      <c r="AZ26" s="35"/>
      <c r="BA26" s="4"/>
    </row>
    <row r="27">
      <c r="A27" s="37"/>
      <c r="B27" s="37" t="s">
        <v>63</v>
      </c>
      <c r="C27" s="38">
        <v>167.0</v>
      </c>
      <c r="D27" s="35"/>
      <c r="E27" s="2"/>
      <c r="F27" s="35"/>
      <c r="G27" s="2"/>
      <c r="H27" s="35"/>
      <c r="I27" s="2"/>
      <c r="J27" s="35"/>
      <c r="K27" s="2"/>
      <c r="M27" s="2">
        <f t="shared" si="5"/>
        <v>0</v>
      </c>
      <c r="P27" s="35">
        <v>1.0</v>
      </c>
      <c r="Q27" s="2">
        <f t="shared" si="7"/>
        <v>167</v>
      </c>
      <c r="R27" s="36">
        <v>1.0</v>
      </c>
      <c r="S27" s="2">
        <f t="shared" si="8"/>
        <v>167</v>
      </c>
      <c r="T27" s="35">
        <v>2.0</v>
      </c>
      <c r="U27" s="2">
        <f t="shared" si="9"/>
        <v>334</v>
      </c>
      <c r="X27" s="35"/>
      <c r="AB27" s="35"/>
      <c r="AF27" s="35"/>
      <c r="AK27" s="2"/>
      <c r="AL27" s="35">
        <v>1.0</v>
      </c>
      <c r="AM27" s="2">
        <f t="shared" si="18"/>
        <v>167</v>
      </c>
      <c r="AT27" s="35"/>
      <c r="AX27" s="35"/>
      <c r="AY27" s="2"/>
      <c r="AZ27" s="35"/>
      <c r="BA27" s="4"/>
    </row>
    <row r="28">
      <c r="A28" s="37"/>
      <c r="B28" s="37" t="s">
        <v>64</v>
      </c>
      <c r="C28" s="38">
        <v>272.0</v>
      </c>
      <c r="D28" s="35"/>
      <c r="E28" s="2"/>
      <c r="F28" s="35"/>
      <c r="G28" s="2"/>
      <c r="H28" s="35"/>
      <c r="I28" s="2"/>
      <c r="J28" s="35"/>
      <c r="K28" s="2"/>
      <c r="M28" s="2">
        <f t="shared" si="5"/>
        <v>0</v>
      </c>
      <c r="P28" s="35">
        <v>1.0</v>
      </c>
      <c r="Q28" s="2">
        <f t="shared" si="7"/>
        <v>272</v>
      </c>
      <c r="R28" s="36">
        <v>1.0</v>
      </c>
      <c r="S28" s="2">
        <f t="shared" si="8"/>
        <v>272</v>
      </c>
      <c r="T28" s="35">
        <v>2.0</v>
      </c>
      <c r="U28" s="2">
        <f t="shared" si="9"/>
        <v>544</v>
      </c>
      <c r="X28" s="35"/>
      <c r="AB28" s="35"/>
      <c r="AF28" s="35"/>
      <c r="AK28" s="2"/>
      <c r="AL28" s="35">
        <v>2.0</v>
      </c>
      <c r="AM28" s="2">
        <f t="shared" si="18"/>
        <v>544</v>
      </c>
      <c r="AT28" s="35"/>
      <c r="AX28" s="35"/>
      <c r="AY28" s="2"/>
      <c r="AZ28" s="35"/>
      <c r="BA28" s="4"/>
    </row>
    <row r="29">
      <c r="A29" s="37"/>
      <c r="B29" s="37" t="s">
        <v>65</v>
      </c>
      <c r="C29" s="38">
        <v>692.0</v>
      </c>
      <c r="D29" s="35"/>
      <c r="E29" s="2"/>
      <c r="F29" s="35"/>
      <c r="G29" s="2"/>
      <c r="H29" s="35"/>
      <c r="I29" s="2"/>
      <c r="J29" s="35"/>
      <c r="K29" s="2"/>
      <c r="M29" s="2">
        <f t="shared" si="5"/>
        <v>0</v>
      </c>
      <c r="P29" s="35">
        <v>1.0</v>
      </c>
      <c r="Q29" s="2">
        <f t="shared" si="7"/>
        <v>692</v>
      </c>
      <c r="R29" s="36">
        <v>1.0</v>
      </c>
      <c r="S29" s="2">
        <f t="shared" si="8"/>
        <v>692</v>
      </c>
      <c r="T29" s="35">
        <v>2.0</v>
      </c>
      <c r="U29" s="2">
        <f t="shared" si="9"/>
        <v>1384</v>
      </c>
      <c r="X29" s="35"/>
      <c r="AB29" s="35"/>
      <c r="AF29" s="35"/>
      <c r="AK29" s="2"/>
      <c r="AL29" s="35">
        <v>2.0</v>
      </c>
      <c r="AM29" s="2">
        <f t="shared" si="18"/>
        <v>1384</v>
      </c>
      <c r="AT29" s="35"/>
      <c r="AX29" s="35"/>
      <c r="AY29" s="2"/>
      <c r="AZ29" s="35"/>
      <c r="BA29" s="4"/>
    </row>
    <row r="30">
      <c r="A30" s="37"/>
      <c r="B30" s="37" t="s">
        <v>66</v>
      </c>
      <c r="C30" s="38">
        <v>212.0</v>
      </c>
      <c r="D30" s="35"/>
      <c r="E30" s="2"/>
      <c r="F30" s="35"/>
      <c r="G30" s="2"/>
      <c r="H30" s="35"/>
      <c r="I30" s="2"/>
      <c r="J30" s="35"/>
      <c r="K30" s="2"/>
      <c r="M30" s="2">
        <f t="shared" si="5"/>
        <v>0</v>
      </c>
      <c r="Q30" s="2">
        <f t="shared" si="7"/>
        <v>0</v>
      </c>
      <c r="R30" s="3"/>
      <c r="S30" s="2">
        <f t="shared" si="8"/>
        <v>0</v>
      </c>
      <c r="U30" s="2">
        <f t="shared" si="9"/>
        <v>0</v>
      </c>
      <c r="X30" s="35"/>
      <c r="AB30" s="35"/>
      <c r="AF30" s="35"/>
      <c r="AK30" s="2"/>
      <c r="AL30" s="35">
        <v>2.0</v>
      </c>
      <c r="AM30" s="2">
        <f t="shared" si="18"/>
        <v>424</v>
      </c>
      <c r="AT30" s="35"/>
      <c r="AX30" s="35"/>
      <c r="AY30" s="2"/>
      <c r="AZ30" s="35"/>
      <c r="BA30" s="4"/>
    </row>
    <row r="31">
      <c r="A31" s="37"/>
      <c r="B31" s="37" t="s">
        <v>67</v>
      </c>
      <c r="C31" s="38">
        <v>52.0</v>
      </c>
      <c r="D31" s="35"/>
      <c r="E31" s="2"/>
      <c r="F31" s="35"/>
      <c r="G31" s="2"/>
      <c r="H31" s="35"/>
      <c r="I31" s="2"/>
      <c r="J31" s="35"/>
      <c r="K31" s="2"/>
      <c r="M31" s="2">
        <f t="shared" si="5"/>
        <v>0</v>
      </c>
      <c r="P31" s="35">
        <v>1.0</v>
      </c>
      <c r="Q31" s="2">
        <f t="shared" si="7"/>
        <v>52</v>
      </c>
      <c r="R31" s="36">
        <v>1.0</v>
      </c>
      <c r="S31" s="2">
        <f t="shared" si="8"/>
        <v>52</v>
      </c>
      <c r="T31" s="35">
        <v>2.0</v>
      </c>
      <c r="U31" s="2">
        <f t="shared" si="9"/>
        <v>104</v>
      </c>
      <c r="X31" s="35"/>
      <c r="AB31" s="35"/>
      <c r="AF31" s="35"/>
      <c r="AK31" s="2"/>
      <c r="AL31" s="35">
        <v>2.0</v>
      </c>
      <c r="AM31" s="2">
        <f t="shared" si="18"/>
        <v>104</v>
      </c>
      <c r="AT31" s="35"/>
      <c r="AX31" s="35"/>
      <c r="AY31" s="2"/>
      <c r="AZ31" s="35"/>
      <c r="BA31" s="4"/>
    </row>
    <row r="32">
      <c r="A32" s="37"/>
      <c r="B32" s="37" t="s">
        <v>68</v>
      </c>
      <c r="C32" s="38">
        <v>41.07</v>
      </c>
      <c r="D32" s="35">
        <v>1.0</v>
      </c>
      <c r="E32" s="2">
        <f t="shared" ref="E32:E33" si="32">$C32*D32</f>
        <v>41.07</v>
      </c>
      <c r="F32" s="35">
        <v>13.0</v>
      </c>
      <c r="G32" s="2">
        <f t="shared" ref="G32:G33" si="33">$C32*F32</f>
        <v>533.91</v>
      </c>
      <c r="H32" s="35">
        <v>20.0</v>
      </c>
      <c r="I32" s="2">
        <f t="shared" ref="I32:I33" si="34">$C32*H32</f>
        <v>821.4</v>
      </c>
      <c r="J32" s="35">
        <v>70.0</v>
      </c>
      <c r="K32" s="2">
        <f t="shared" ref="K32:K33" si="35">$C32*J32</f>
        <v>2874.9</v>
      </c>
      <c r="L32" s="35">
        <v>13.0</v>
      </c>
      <c r="M32" s="2">
        <f t="shared" si="5"/>
        <v>533.91</v>
      </c>
      <c r="Q32" s="2">
        <f t="shared" si="7"/>
        <v>0</v>
      </c>
      <c r="R32" s="3"/>
      <c r="S32" s="2">
        <f t="shared" si="8"/>
        <v>0</v>
      </c>
      <c r="U32" s="2">
        <f t="shared" si="9"/>
        <v>0</v>
      </c>
      <c r="V32" s="35">
        <v>5.0</v>
      </c>
      <c r="W32" s="2">
        <f t="shared" ref="W32:W33" si="36">C32*V32</f>
        <v>205.35</v>
      </c>
      <c r="X32" s="35">
        <v>7.0</v>
      </c>
      <c r="Y32" s="2">
        <f t="shared" ref="Y32:Y33" si="37">C32*X32</f>
        <v>287.49</v>
      </c>
      <c r="AB32" s="35">
        <v>6.0</v>
      </c>
      <c r="AC32" s="2">
        <f t="shared" ref="AC32:AC33" si="38">C32*AB32</f>
        <v>246.42</v>
      </c>
      <c r="AD32" s="35">
        <v>7.0</v>
      </c>
      <c r="AE32" s="2">
        <f t="shared" ref="AE32:AE33" si="39">C32*AD32</f>
        <v>287.49</v>
      </c>
      <c r="AF32" s="35">
        <v>15.0</v>
      </c>
      <c r="AG32" s="2">
        <f t="shared" ref="AG32:AG33" si="40">$C32*AF32</f>
        <v>616.05</v>
      </c>
      <c r="AK32" s="2"/>
      <c r="AL32" s="35">
        <v>30.0</v>
      </c>
      <c r="AM32" s="2">
        <f t="shared" si="18"/>
        <v>1232.1</v>
      </c>
      <c r="AT32" s="35">
        <v>28.0</v>
      </c>
      <c r="AU32" s="2">
        <f t="shared" ref="AU32:AU33" si="41">$C32*AT32</f>
        <v>1149.96</v>
      </c>
      <c r="AV32" s="35">
        <v>5.0</v>
      </c>
      <c r="AW32" s="38">
        <f t="shared" ref="AW32:AW38" si="42">C32*AV32</f>
        <v>205.35</v>
      </c>
      <c r="AX32" s="35">
        <v>33.0</v>
      </c>
      <c r="AY32" s="2">
        <f t="shared" ref="AY32:AY33" si="43">$C32*AX32</f>
        <v>1355.31</v>
      </c>
      <c r="AZ32" s="35">
        <v>7.0</v>
      </c>
      <c r="BA32" s="4">
        <f t="shared" ref="BA32:BA33" si="44">$C32*AZ32</f>
        <v>287.49</v>
      </c>
    </row>
    <row r="33">
      <c r="A33" s="37"/>
      <c r="B33" s="37" t="s">
        <v>69</v>
      </c>
      <c r="C33" s="38">
        <v>9.37</v>
      </c>
      <c r="E33" s="2">
        <f t="shared" si="32"/>
        <v>0</v>
      </c>
      <c r="F33" s="35">
        <v>20.0</v>
      </c>
      <c r="G33" s="2">
        <f t="shared" si="33"/>
        <v>187.4</v>
      </c>
      <c r="H33" s="35">
        <v>30.0</v>
      </c>
      <c r="I33" s="2">
        <f t="shared" si="34"/>
        <v>281.1</v>
      </c>
      <c r="J33" s="35">
        <v>90.0</v>
      </c>
      <c r="K33" s="2">
        <f t="shared" si="35"/>
        <v>843.3</v>
      </c>
      <c r="M33" s="2">
        <f t="shared" si="5"/>
        <v>0</v>
      </c>
      <c r="Q33" s="2">
        <f t="shared" si="7"/>
        <v>0</v>
      </c>
      <c r="R33" s="3"/>
      <c r="S33" s="2">
        <f t="shared" si="8"/>
        <v>0</v>
      </c>
      <c r="U33" s="2">
        <f t="shared" si="9"/>
        <v>0</v>
      </c>
      <c r="V33" s="35">
        <v>20.0</v>
      </c>
      <c r="W33" s="2">
        <f t="shared" si="36"/>
        <v>187.4</v>
      </c>
      <c r="X33" s="35">
        <v>7.0</v>
      </c>
      <c r="Y33" s="2">
        <f t="shared" si="37"/>
        <v>65.59</v>
      </c>
      <c r="AA33" s="2">
        <f>SUM(AA8:AA11)</f>
        <v>0</v>
      </c>
      <c r="AB33" s="35">
        <v>4.0</v>
      </c>
      <c r="AC33" s="2">
        <f t="shared" si="38"/>
        <v>37.48</v>
      </c>
      <c r="AD33" s="35">
        <v>7.0</v>
      </c>
      <c r="AE33" s="2">
        <f t="shared" si="39"/>
        <v>65.59</v>
      </c>
      <c r="AF33" s="35">
        <v>15.0</v>
      </c>
      <c r="AG33" s="2">
        <f t="shared" si="40"/>
        <v>140.55</v>
      </c>
      <c r="AI33" s="2">
        <f>SUM(AI8:AI11)</f>
        <v>0</v>
      </c>
      <c r="AK33" s="2">
        <f>SUM(AK8:AK11)</f>
        <v>0</v>
      </c>
      <c r="AL33" s="35">
        <v>35.0</v>
      </c>
      <c r="AM33" s="2">
        <f t="shared" si="18"/>
        <v>327.95</v>
      </c>
      <c r="AO33" s="2">
        <f>SUM(AO8:AO11)</f>
        <v>8500.533</v>
      </c>
      <c r="AQ33" s="2">
        <f>SUM(AQ8:AQ11)</f>
        <v>3779.011</v>
      </c>
      <c r="AS33" s="2">
        <f>SUM(AS8:AS11)</f>
        <v>6181.435</v>
      </c>
      <c r="AT33" s="35">
        <v>48.0</v>
      </c>
      <c r="AU33" s="2">
        <f t="shared" si="41"/>
        <v>449.76</v>
      </c>
      <c r="AV33" s="35">
        <v>13.0</v>
      </c>
      <c r="AW33" s="38">
        <f t="shared" si="42"/>
        <v>121.81</v>
      </c>
      <c r="AX33" s="35">
        <v>39.0</v>
      </c>
      <c r="AY33" s="2">
        <f t="shared" si="43"/>
        <v>365.43</v>
      </c>
      <c r="AZ33" s="35">
        <v>8.0</v>
      </c>
      <c r="BA33" s="4">
        <f t="shared" si="44"/>
        <v>74.96</v>
      </c>
      <c r="BC33" s="2">
        <f>SUM(BC8:BC11)</f>
        <v>0</v>
      </c>
    </row>
    <row r="34">
      <c r="A34" s="39"/>
      <c r="B34" s="39" t="s">
        <v>70</v>
      </c>
      <c r="C34" s="38">
        <v>272.0</v>
      </c>
      <c r="E34" s="2"/>
      <c r="F34" s="35"/>
      <c r="G34" s="2"/>
      <c r="I34" s="2"/>
      <c r="K34" s="2"/>
      <c r="M34" s="2">
        <f t="shared" si="5"/>
        <v>0</v>
      </c>
      <c r="Q34" s="2">
        <f t="shared" si="7"/>
        <v>0</v>
      </c>
      <c r="R34" s="3"/>
      <c r="S34" s="2">
        <f t="shared" si="8"/>
        <v>0</v>
      </c>
      <c r="U34" s="2">
        <f t="shared" si="9"/>
        <v>0</v>
      </c>
      <c r="V34" s="35"/>
      <c r="X34" s="35"/>
      <c r="AB34" s="35"/>
      <c r="AD34" s="35"/>
      <c r="AF34" s="35"/>
      <c r="AJ34" s="35"/>
      <c r="AK34" s="2"/>
      <c r="AL34" s="35"/>
      <c r="AV34" s="35">
        <v>10.0</v>
      </c>
      <c r="AW34" s="38">
        <f t="shared" si="42"/>
        <v>2720</v>
      </c>
      <c r="AX34" s="35"/>
      <c r="AY34" s="2"/>
      <c r="AZ34" s="35"/>
      <c r="BA34" s="4"/>
    </row>
    <row r="35">
      <c r="A35" s="39"/>
      <c r="B35" s="39" t="s">
        <v>71</v>
      </c>
      <c r="C35" s="38">
        <v>234.0</v>
      </c>
      <c r="E35" s="2"/>
      <c r="F35" s="35"/>
      <c r="G35" s="2"/>
      <c r="I35" s="2"/>
      <c r="K35" s="2"/>
      <c r="M35" s="2">
        <f t="shared" si="5"/>
        <v>0</v>
      </c>
      <c r="Q35" s="2">
        <f t="shared" si="7"/>
        <v>0</v>
      </c>
      <c r="R35" s="3"/>
      <c r="S35" s="2">
        <f t="shared" si="8"/>
        <v>0</v>
      </c>
      <c r="U35" s="2">
        <f t="shared" si="9"/>
        <v>0</v>
      </c>
      <c r="V35" s="35"/>
      <c r="X35" s="35"/>
      <c r="AB35" s="35"/>
      <c r="AD35" s="35"/>
      <c r="AF35" s="35"/>
      <c r="AJ35" s="35"/>
      <c r="AK35" s="2"/>
      <c r="AL35" s="35"/>
      <c r="AV35" s="35">
        <v>2.0</v>
      </c>
      <c r="AW35" s="38">
        <f t="shared" si="42"/>
        <v>468</v>
      </c>
      <c r="AX35" s="35"/>
      <c r="AY35" s="2"/>
      <c r="AZ35" s="35"/>
      <c r="BA35" s="4"/>
    </row>
    <row r="36">
      <c r="A36" s="39"/>
      <c r="B36" s="39" t="s">
        <v>72</v>
      </c>
      <c r="C36" s="38">
        <v>125.95</v>
      </c>
      <c r="E36" s="2"/>
      <c r="F36" s="35"/>
      <c r="G36" s="2"/>
      <c r="I36" s="2"/>
      <c r="K36" s="2"/>
      <c r="M36" s="2">
        <f t="shared" si="5"/>
        <v>0</v>
      </c>
      <c r="Q36" s="2">
        <f t="shared" si="7"/>
        <v>0</v>
      </c>
      <c r="R36" s="3"/>
      <c r="S36" s="2">
        <f t="shared" si="8"/>
        <v>0</v>
      </c>
      <c r="U36" s="2">
        <f t="shared" si="9"/>
        <v>0</v>
      </c>
      <c r="V36" s="35"/>
      <c r="X36" s="35"/>
      <c r="AB36" s="35"/>
      <c r="AD36" s="35"/>
      <c r="AF36" s="35"/>
      <c r="AJ36" s="35"/>
      <c r="AK36" s="2"/>
      <c r="AL36" s="35"/>
      <c r="AV36" s="35">
        <v>10.0</v>
      </c>
      <c r="AW36" s="38">
        <f t="shared" si="42"/>
        <v>1259.5</v>
      </c>
      <c r="AX36" s="35"/>
      <c r="AY36" s="2"/>
      <c r="AZ36" s="35"/>
      <c r="BA36" s="4"/>
    </row>
    <row r="37">
      <c r="A37" s="39"/>
      <c r="B37" s="39" t="s">
        <v>73</v>
      </c>
      <c r="C37" s="38">
        <v>353.65</v>
      </c>
      <c r="E37" s="2"/>
      <c r="F37" s="35"/>
      <c r="G37" s="2"/>
      <c r="I37" s="2"/>
      <c r="K37" s="2"/>
      <c r="M37" s="2">
        <f t="shared" si="5"/>
        <v>0</v>
      </c>
      <c r="Q37" s="2">
        <f t="shared" si="7"/>
        <v>0</v>
      </c>
      <c r="R37" s="3"/>
      <c r="S37" s="2">
        <f t="shared" si="8"/>
        <v>0</v>
      </c>
      <c r="U37" s="2">
        <f t="shared" si="9"/>
        <v>0</v>
      </c>
      <c r="V37" s="35"/>
      <c r="X37" s="35"/>
      <c r="AB37" s="35"/>
      <c r="AD37" s="35"/>
      <c r="AF37" s="35"/>
      <c r="AJ37" s="35"/>
      <c r="AK37" s="2"/>
      <c r="AL37" s="35"/>
      <c r="AV37" s="35">
        <v>5.0</v>
      </c>
      <c r="AW37" s="38">
        <f t="shared" si="42"/>
        <v>1768.25</v>
      </c>
      <c r="AX37" s="35"/>
      <c r="AY37" s="2"/>
      <c r="AZ37" s="35"/>
      <c r="BA37" s="4"/>
    </row>
    <row r="38">
      <c r="A38" s="37"/>
      <c r="B38" s="37" t="s">
        <v>74</v>
      </c>
      <c r="C38" s="38">
        <v>553.5</v>
      </c>
      <c r="E38" s="2"/>
      <c r="F38" s="35"/>
      <c r="G38" s="2"/>
      <c r="I38" s="2"/>
      <c r="K38" s="2"/>
      <c r="M38" s="2">
        <f t="shared" si="5"/>
        <v>0</v>
      </c>
      <c r="Q38" s="2">
        <f t="shared" si="7"/>
        <v>0</v>
      </c>
      <c r="R38" s="3"/>
      <c r="S38" s="2">
        <f t="shared" si="8"/>
        <v>0</v>
      </c>
      <c r="U38" s="2">
        <f t="shared" si="9"/>
        <v>0</v>
      </c>
      <c r="V38" s="35"/>
      <c r="X38" s="35"/>
      <c r="AB38" s="35"/>
      <c r="AD38" s="35"/>
      <c r="AF38" s="35"/>
      <c r="AJ38" s="35"/>
      <c r="AK38" s="2"/>
      <c r="AL38" s="35"/>
      <c r="AV38" s="35">
        <v>10.0</v>
      </c>
      <c r="AW38" s="38">
        <f t="shared" si="42"/>
        <v>5535</v>
      </c>
      <c r="AX38" s="35"/>
      <c r="AY38" s="2"/>
      <c r="AZ38" s="35"/>
      <c r="BA38" s="4"/>
    </row>
    <row r="39">
      <c r="A39" s="37"/>
      <c r="B39" s="37" t="s">
        <v>75</v>
      </c>
      <c r="C39" s="38">
        <v>206.74</v>
      </c>
      <c r="E39" s="2">
        <f t="shared" ref="E39:E43" si="45">$C39*D39</f>
        <v>0</v>
      </c>
      <c r="F39" s="35">
        <v>13.0</v>
      </c>
      <c r="G39" s="2">
        <f t="shared" ref="G39:G93" si="46">$C39*F39</f>
        <v>2687.62</v>
      </c>
      <c r="I39" s="2">
        <f t="shared" ref="I39:I94" si="47">$C39*H39</f>
        <v>0</v>
      </c>
      <c r="K39" s="2">
        <f t="shared" ref="K39:K94" si="48">$C39*J39</f>
        <v>0</v>
      </c>
      <c r="M39" s="2">
        <f t="shared" si="5"/>
        <v>0</v>
      </c>
      <c r="P39" s="35">
        <v>10.0</v>
      </c>
      <c r="Q39" s="2">
        <f t="shared" si="7"/>
        <v>2067.4</v>
      </c>
      <c r="R39" s="36">
        <v>10.0</v>
      </c>
      <c r="S39" s="2">
        <f t="shared" si="8"/>
        <v>2067.4</v>
      </c>
      <c r="T39" s="35">
        <v>8.0</v>
      </c>
      <c r="U39" s="2">
        <f t="shared" si="9"/>
        <v>1653.92</v>
      </c>
      <c r="V39" s="35">
        <v>12.0</v>
      </c>
      <c r="W39" s="2">
        <f t="shared" ref="W39:W94" si="49">C39*V39</f>
        <v>2480.88</v>
      </c>
      <c r="X39" s="35">
        <v>7.0</v>
      </c>
      <c r="Y39" s="2">
        <f t="shared" ref="Y39:Y78" si="50">C39*X39</f>
        <v>1447.18</v>
      </c>
      <c r="AB39" s="35">
        <v>4.0</v>
      </c>
      <c r="AC39" s="2">
        <f t="shared" ref="AC39:AC78" si="51">C39*AB39</f>
        <v>826.96</v>
      </c>
      <c r="AD39" s="35">
        <v>7.0</v>
      </c>
      <c r="AE39" s="2">
        <f t="shared" ref="AE39:AE94" si="52">C39*AD39</f>
        <v>1447.18</v>
      </c>
      <c r="AF39" s="35">
        <v>15.0</v>
      </c>
      <c r="AG39" s="2">
        <f t="shared" ref="AG39:AG78" si="53">$C39*AF39</f>
        <v>3101.1</v>
      </c>
      <c r="AJ39" s="35">
        <v>9.0</v>
      </c>
      <c r="AK39" s="2">
        <f t="shared" ref="AK39:AK46" si="54">$C39*AJ39</f>
        <v>1860.66</v>
      </c>
      <c r="AL39" s="35">
        <v>30.0</v>
      </c>
      <c r="AM39" s="2">
        <f t="shared" ref="AM39:AM95" si="55">$C39*AL39</f>
        <v>6202.2</v>
      </c>
      <c r="AU39" s="2">
        <f t="shared" ref="AU39:AU89" si="56">$C39*AT39</f>
        <v>0</v>
      </c>
      <c r="AX39" s="35">
        <v>0.0</v>
      </c>
      <c r="AY39" s="2">
        <f t="shared" ref="AY39:AY79" si="57">$C39*AX39</f>
        <v>0</v>
      </c>
      <c r="AZ39" s="35">
        <v>0.0</v>
      </c>
      <c r="BA39" s="4">
        <f t="shared" ref="BA39:BA79" si="58">$C39*AZ39</f>
        <v>0</v>
      </c>
    </row>
    <row r="40">
      <c r="A40" s="37"/>
      <c r="B40" s="37" t="s">
        <v>76</v>
      </c>
      <c r="C40" s="38">
        <v>132.31</v>
      </c>
      <c r="E40" s="2">
        <f t="shared" si="45"/>
        <v>0</v>
      </c>
      <c r="G40" s="2">
        <f t="shared" si="46"/>
        <v>0</v>
      </c>
      <c r="I40" s="2">
        <f t="shared" si="47"/>
        <v>0</v>
      </c>
      <c r="K40" s="2">
        <f t="shared" si="48"/>
        <v>0</v>
      </c>
      <c r="M40" s="2">
        <f t="shared" si="5"/>
        <v>0</v>
      </c>
      <c r="P40" s="35">
        <v>18.0</v>
      </c>
      <c r="Q40" s="2">
        <f t="shared" si="7"/>
        <v>2381.58</v>
      </c>
      <c r="R40" s="36">
        <v>10.0</v>
      </c>
      <c r="S40" s="2">
        <f t="shared" si="8"/>
        <v>1323.1</v>
      </c>
      <c r="T40" s="35">
        <v>13.0</v>
      </c>
      <c r="U40" s="2">
        <f t="shared" si="9"/>
        <v>1720.03</v>
      </c>
      <c r="V40" s="35">
        <v>10.0</v>
      </c>
      <c r="W40" s="2">
        <f t="shared" si="49"/>
        <v>1323.1</v>
      </c>
      <c r="X40" s="35">
        <v>12.0</v>
      </c>
      <c r="Y40" s="2">
        <f t="shared" si="50"/>
        <v>1587.72</v>
      </c>
      <c r="AB40" s="35">
        <v>8.0</v>
      </c>
      <c r="AC40" s="2">
        <f t="shared" si="51"/>
        <v>1058.48</v>
      </c>
      <c r="AD40" s="35">
        <v>12.0</v>
      </c>
      <c r="AE40" s="2">
        <f t="shared" si="52"/>
        <v>1587.72</v>
      </c>
      <c r="AF40" s="35">
        <v>80.0</v>
      </c>
      <c r="AG40" s="2">
        <f t="shared" si="53"/>
        <v>10584.8</v>
      </c>
      <c r="AJ40" s="35">
        <v>18.0</v>
      </c>
      <c r="AK40" s="2">
        <f t="shared" si="54"/>
        <v>2381.58</v>
      </c>
      <c r="AL40" s="35">
        <v>48.0</v>
      </c>
      <c r="AM40" s="2">
        <f t="shared" si="55"/>
        <v>6350.88</v>
      </c>
      <c r="AU40" s="2">
        <f t="shared" si="56"/>
        <v>0</v>
      </c>
      <c r="AX40" s="35">
        <v>0.0</v>
      </c>
      <c r="AY40" s="2">
        <f t="shared" si="57"/>
        <v>0</v>
      </c>
      <c r="AZ40" s="35">
        <v>0.0</v>
      </c>
      <c r="BA40" s="4">
        <f t="shared" si="58"/>
        <v>0</v>
      </c>
    </row>
    <row r="41">
      <c r="A41" s="37"/>
      <c r="B41" s="37" t="s">
        <v>77</v>
      </c>
      <c r="C41" s="38">
        <v>82.69</v>
      </c>
      <c r="E41" s="2">
        <f t="shared" si="45"/>
        <v>0</v>
      </c>
      <c r="G41" s="2">
        <f t="shared" si="46"/>
        <v>0</v>
      </c>
      <c r="I41" s="2">
        <f t="shared" si="47"/>
        <v>0</v>
      </c>
      <c r="K41" s="2">
        <f t="shared" si="48"/>
        <v>0</v>
      </c>
      <c r="M41" s="2">
        <f t="shared" si="5"/>
        <v>0</v>
      </c>
      <c r="P41" s="35">
        <v>3.0</v>
      </c>
      <c r="Q41" s="2">
        <f t="shared" si="7"/>
        <v>248.07</v>
      </c>
      <c r="R41" s="36">
        <v>4.0</v>
      </c>
      <c r="S41" s="2">
        <f t="shared" si="8"/>
        <v>330.76</v>
      </c>
      <c r="T41" s="35">
        <v>3.0</v>
      </c>
      <c r="U41" s="2">
        <f t="shared" si="9"/>
        <v>248.07</v>
      </c>
      <c r="V41" s="35">
        <v>15.0</v>
      </c>
      <c r="W41" s="2">
        <f t="shared" si="49"/>
        <v>1240.35</v>
      </c>
      <c r="X41" s="35">
        <v>6.0</v>
      </c>
      <c r="Y41" s="2">
        <f t="shared" si="50"/>
        <v>496.14</v>
      </c>
      <c r="AB41" s="35">
        <v>4.0</v>
      </c>
      <c r="AC41" s="2">
        <f t="shared" si="51"/>
        <v>330.76</v>
      </c>
      <c r="AD41" s="35">
        <v>7.0</v>
      </c>
      <c r="AE41" s="2">
        <f t="shared" si="52"/>
        <v>578.83</v>
      </c>
      <c r="AG41" s="2">
        <f t="shared" si="53"/>
        <v>0</v>
      </c>
      <c r="AJ41" s="35">
        <v>6.0</v>
      </c>
      <c r="AK41" s="2">
        <f t="shared" si="54"/>
        <v>496.14</v>
      </c>
      <c r="AL41" s="35">
        <v>13.0</v>
      </c>
      <c r="AM41" s="2">
        <f t="shared" si="55"/>
        <v>1074.97</v>
      </c>
      <c r="AT41" s="35">
        <v>11.0</v>
      </c>
      <c r="AU41" s="2">
        <f t="shared" si="56"/>
        <v>909.59</v>
      </c>
      <c r="AX41" s="35">
        <v>11.0</v>
      </c>
      <c r="AY41" s="2">
        <f t="shared" si="57"/>
        <v>909.59</v>
      </c>
      <c r="AZ41" s="35">
        <v>3.0</v>
      </c>
      <c r="BA41" s="4">
        <f t="shared" si="58"/>
        <v>248.07</v>
      </c>
    </row>
    <row r="42">
      <c r="A42" s="37"/>
      <c r="B42" s="37" t="s">
        <v>78</v>
      </c>
      <c r="C42" s="38">
        <v>285.31</v>
      </c>
      <c r="E42" s="2">
        <f t="shared" si="45"/>
        <v>0</v>
      </c>
      <c r="F42" s="35">
        <v>8.0</v>
      </c>
      <c r="G42" s="2">
        <f t="shared" si="46"/>
        <v>2282.48</v>
      </c>
      <c r="H42" s="35">
        <v>15.0</v>
      </c>
      <c r="I42" s="2">
        <f t="shared" si="47"/>
        <v>4279.65</v>
      </c>
      <c r="J42" s="35">
        <v>93.0</v>
      </c>
      <c r="K42" s="2">
        <f t="shared" si="48"/>
        <v>26533.83</v>
      </c>
      <c r="M42" s="2">
        <f t="shared" si="5"/>
        <v>0</v>
      </c>
      <c r="P42" s="35">
        <v>4.0</v>
      </c>
      <c r="Q42" s="2">
        <f t="shared" si="7"/>
        <v>1141.24</v>
      </c>
      <c r="R42" s="3"/>
      <c r="S42" s="2">
        <f t="shared" si="8"/>
        <v>0</v>
      </c>
      <c r="U42" s="2">
        <f t="shared" si="9"/>
        <v>0</v>
      </c>
      <c r="V42" s="35">
        <v>5.0</v>
      </c>
      <c r="W42" s="2">
        <f t="shared" si="49"/>
        <v>1426.55</v>
      </c>
      <c r="X42" s="35">
        <v>7.0</v>
      </c>
      <c r="Y42" s="2">
        <f t="shared" si="50"/>
        <v>1997.17</v>
      </c>
      <c r="AB42" s="35">
        <v>2.0</v>
      </c>
      <c r="AC42" s="2">
        <f t="shared" si="51"/>
        <v>570.62</v>
      </c>
      <c r="AD42" s="35">
        <v>6.0</v>
      </c>
      <c r="AE42" s="2">
        <f t="shared" si="52"/>
        <v>1711.86</v>
      </c>
      <c r="AG42" s="2">
        <f t="shared" si="53"/>
        <v>0</v>
      </c>
      <c r="AJ42" s="35">
        <v>6.0</v>
      </c>
      <c r="AK42" s="2">
        <f t="shared" si="54"/>
        <v>1711.86</v>
      </c>
      <c r="AL42" s="35">
        <v>30.0</v>
      </c>
      <c r="AM42" s="2">
        <f t="shared" si="55"/>
        <v>8559.3</v>
      </c>
      <c r="AT42" s="35">
        <v>23.0</v>
      </c>
      <c r="AU42" s="2">
        <f t="shared" si="56"/>
        <v>6562.13</v>
      </c>
      <c r="AX42" s="35">
        <v>13.0</v>
      </c>
      <c r="AY42" s="2">
        <f t="shared" si="57"/>
        <v>3709.03</v>
      </c>
      <c r="AZ42" s="35">
        <v>10.0</v>
      </c>
      <c r="BA42" s="4">
        <f t="shared" si="58"/>
        <v>2853.1</v>
      </c>
    </row>
    <row r="43">
      <c r="A43" s="37"/>
      <c r="B43" s="37" t="s">
        <v>79</v>
      </c>
      <c r="C43" s="38">
        <v>1325.23</v>
      </c>
      <c r="D43" s="35">
        <v>1.0</v>
      </c>
      <c r="E43" s="2">
        <f t="shared" si="45"/>
        <v>1325.23</v>
      </c>
      <c r="F43" s="35">
        <v>9.0</v>
      </c>
      <c r="G43" s="2">
        <f t="shared" si="46"/>
        <v>11927.07</v>
      </c>
      <c r="H43" s="35">
        <v>16.0</v>
      </c>
      <c r="I43" s="2">
        <f t="shared" si="47"/>
        <v>21203.68</v>
      </c>
      <c r="J43" s="35">
        <v>40.0</v>
      </c>
      <c r="K43" s="2">
        <f t="shared" si="48"/>
        <v>53009.2</v>
      </c>
      <c r="M43" s="2">
        <f t="shared" si="5"/>
        <v>0</v>
      </c>
      <c r="Q43" s="2">
        <f t="shared" si="7"/>
        <v>0</v>
      </c>
      <c r="R43" s="3"/>
      <c r="S43" s="2">
        <f t="shared" si="8"/>
        <v>0</v>
      </c>
      <c r="U43" s="2">
        <f t="shared" si="9"/>
        <v>0</v>
      </c>
      <c r="V43" s="35">
        <v>8.0</v>
      </c>
      <c r="W43" s="2">
        <f t="shared" si="49"/>
        <v>10601.84</v>
      </c>
      <c r="X43" s="35">
        <v>6.0</v>
      </c>
      <c r="Y43" s="2">
        <f t="shared" si="50"/>
        <v>7951.38</v>
      </c>
      <c r="AB43" s="35">
        <v>4.0</v>
      </c>
      <c r="AC43" s="2">
        <f t="shared" si="51"/>
        <v>5300.92</v>
      </c>
      <c r="AD43" s="35">
        <v>5.0</v>
      </c>
      <c r="AE43" s="2">
        <f t="shared" si="52"/>
        <v>6626.15</v>
      </c>
      <c r="AF43" s="35">
        <v>11.0</v>
      </c>
      <c r="AG43" s="2">
        <f t="shared" si="53"/>
        <v>14577.53</v>
      </c>
      <c r="AJ43" s="35">
        <v>4.0</v>
      </c>
      <c r="AK43" s="2">
        <f t="shared" si="54"/>
        <v>5300.92</v>
      </c>
      <c r="AL43" s="35">
        <v>16.0</v>
      </c>
      <c r="AM43" s="2">
        <f t="shared" si="55"/>
        <v>21203.68</v>
      </c>
      <c r="AT43" s="35">
        <v>11.0</v>
      </c>
      <c r="AU43" s="2">
        <f t="shared" si="56"/>
        <v>14577.53</v>
      </c>
      <c r="AV43" s="35">
        <v>4.0</v>
      </c>
      <c r="AW43" s="38">
        <f t="shared" ref="AW43:AW45" si="59">C43*AV43</f>
        <v>5300.92</v>
      </c>
      <c r="AX43" s="35">
        <v>10.0</v>
      </c>
      <c r="AY43" s="2">
        <f t="shared" si="57"/>
        <v>13252.3</v>
      </c>
      <c r="AZ43" s="35">
        <v>4.0</v>
      </c>
      <c r="BA43" s="4">
        <f t="shared" si="58"/>
        <v>5300.92</v>
      </c>
    </row>
    <row r="44">
      <c r="A44" s="37"/>
      <c r="B44" s="37" t="s">
        <v>80</v>
      </c>
      <c r="C44" s="38">
        <v>273.28</v>
      </c>
      <c r="E44" s="2"/>
      <c r="G44" s="2">
        <f t="shared" si="46"/>
        <v>0</v>
      </c>
      <c r="I44" s="2">
        <f t="shared" si="47"/>
        <v>0</v>
      </c>
      <c r="K44" s="2">
        <f t="shared" si="48"/>
        <v>0</v>
      </c>
      <c r="M44" s="2">
        <f t="shared" si="5"/>
        <v>0</v>
      </c>
      <c r="Q44" s="2">
        <f t="shared" si="7"/>
        <v>0</v>
      </c>
      <c r="R44" s="3"/>
      <c r="S44" s="2">
        <f t="shared" si="8"/>
        <v>0</v>
      </c>
      <c r="U44" s="2">
        <f t="shared" si="9"/>
        <v>0</v>
      </c>
      <c r="V44" s="35">
        <v>8.0</v>
      </c>
      <c r="W44" s="2">
        <f t="shared" si="49"/>
        <v>2186.24</v>
      </c>
      <c r="X44" s="35">
        <v>6.0</v>
      </c>
      <c r="Y44" s="2">
        <f t="shared" si="50"/>
        <v>1639.68</v>
      </c>
      <c r="AB44" s="35">
        <v>4.0</v>
      </c>
      <c r="AC44" s="2">
        <f t="shared" si="51"/>
        <v>1093.12</v>
      </c>
      <c r="AD44" s="35">
        <v>5.0</v>
      </c>
      <c r="AE44" s="2">
        <f t="shared" si="52"/>
        <v>1366.4</v>
      </c>
      <c r="AF44" s="35">
        <v>11.0</v>
      </c>
      <c r="AG44" s="2">
        <f t="shared" si="53"/>
        <v>3006.08</v>
      </c>
      <c r="AJ44" s="35">
        <v>6.0</v>
      </c>
      <c r="AK44" s="2">
        <f t="shared" si="54"/>
        <v>1639.68</v>
      </c>
      <c r="AL44" s="35">
        <v>16.0</v>
      </c>
      <c r="AM44" s="2">
        <f t="shared" si="55"/>
        <v>4372.48</v>
      </c>
      <c r="AP44" s="35">
        <v>4.0</v>
      </c>
      <c r="AQ44" s="35">
        <v>1093.12</v>
      </c>
      <c r="AR44" s="35">
        <v>2.0</v>
      </c>
      <c r="AS44" s="35">
        <v>546.56</v>
      </c>
      <c r="AT44" s="35">
        <v>11.0</v>
      </c>
      <c r="AU44" s="2">
        <f t="shared" si="56"/>
        <v>3006.08</v>
      </c>
      <c r="AV44" s="35">
        <v>5.0</v>
      </c>
      <c r="AW44" s="38">
        <f t="shared" si="59"/>
        <v>1366.4</v>
      </c>
      <c r="AX44" s="35">
        <v>12.0</v>
      </c>
      <c r="AY44" s="2">
        <f t="shared" si="57"/>
        <v>3279.36</v>
      </c>
      <c r="AZ44" s="35">
        <v>7.0</v>
      </c>
      <c r="BA44" s="4">
        <f t="shared" si="58"/>
        <v>1912.96</v>
      </c>
    </row>
    <row r="45">
      <c r="A45" s="37"/>
      <c r="B45" s="37" t="s">
        <v>81</v>
      </c>
      <c r="C45" s="38">
        <v>95.16</v>
      </c>
      <c r="E45" s="2"/>
      <c r="G45" s="2">
        <f t="shared" si="46"/>
        <v>0</v>
      </c>
      <c r="I45" s="2">
        <f t="shared" si="47"/>
        <v>0</v>
      </c>
      <c r="K45" s="2">
        <f t="shared" si="48"/>
        <v>0</v>
      </c>
      <c r="M45" s="2">
        <f t="shared" si="5"/>
        <v>0</v>
      </c>
      <c r="Q45" s="2">
        <f t="shared" si="7"/>
        <v>0</v>
      </c>
      <c r="R45" s="3"/>
      <c r="S45" s="2">
        <f t="shared" si="8"/>
        <v>0</v>
      </c>
      <c r="U45" s="2">
        <f t="shared" si="9"/>
        <v>0</v>
      </c>
      <c r="V45" s="35">
        <v>8.0</v>
      </c>
      <c r="W45" s="2">
        <f t="shared" si="49"/>
        <v>761.28</v>
      </c>
      <c r="X45" s="35">
        <v>6.0</v>
      </c>
      <c r="Y45" s="2">
        <f t="shared" si="50"/>
        <v>570.96</v>
      </c>
      <c r="AB45" s="35">
        <v>4.0</v>
      </c>
      <c r="AC45" s="2">
        <f t="shared" si="51"/>
        <v>380.64</v>
      </c>
      <c r="AD45" s="35">
        <v>5.0</v>
      </c>
      <c r="AE45" s="2">
        <f t="shared" si="52"/>
        <v>475.8</v>
      </c>
      <c r="AF45" s="35">
        <v>11.0</v>
      </c>
      <c r="AG45" s="2">
        <f t="shared" si="53"/>
        <v>1046.76</v>
      </c>
      <c r="AJ45" s="35">
        <v>6.0</v>
      </c>
      <c r="AK45" s="2">
        <f t="shared" si="54"/>
        <v>570.96</v>
      </c>
      <c r="AL45" s="35">
        <v>16.0</v>
      </c>
      <c r="AM45" s="2">
        <f t="shared" si="55"/>
        <v>1522.56</v>
      </c>
      <c r="AT45" s="35">
        <v>11.0</v>
      </c>
      <c r="AU45" s="2">
        <f t="shared" si="56"/>
        <v>1046.76</v>
      </c>
      <c r="AV45" s="35">
        <v>5.0</v>
      </c>
      <c r="AW45" s="38">
        <f t="shared" si="59"/>
        <v>475.8</v>
      </c>
      <c r="AX45" s="35">
        <v>12.0</v>
      </c>
      <c r="AY45" s="2">
        <f t="shared" si="57"/>
        <v>1141.92</v>
      </c>
      <c r="AZ45" s="35">
        <v>7.0</v>
      </c>
      <c r="BA45" s="4">
        <f t="shared" si="58"/>
        <v>666.12</v>
      </c>
    </row>
    <row r="46">
      <c r="A46" s="37"/>
      <c r="B46" s="37" t="s">
        <v>82</v>
      </c>
      <c r="C46" s="38">
        <v>1433.5</v>
      </c>
      <c r="E46" s="2"/>
      <c r="G46" s="2">
        <f t="shared" si="46"/>
        <v>0</v>
      </c>
      <c r="I46" s="2">
        <f t="shared" si="47"/>
        <v>0</v>
      </c>
      <c r="K46" s="2">
        <f t="shared" si="48"/>
        <v>0</v>
      </c>
      <c r="M46" s="2">
        <f t="shared" si="5"/>
        <v>0</v>
      </c>
      <c r="Q46" s="2">
        <f t="shared" si="7"/>
        <v>0</v>
      </c>
      <c r="R46" s="3"/>
      <c r="S46" s="2">
        <f t="shared" si="8"/>
        <v>0</v>
      </c>
      <c r="U46" s="2">
        <f t="shared" si="9"/>
        <v>0</v>
      </c>
      <c r="W46" s="2">
        <f t="shared" si="49"/>
        <v>0</v>
      </c>
      <c r="X46" s="35">
        <v>1.0</v>
      </c>
      <c r="Y46" s="2">
        <f t="shared" si="50"/>
        <v>1433.5</v>
      </c>
      <c r="AB46" s="35">
        <v>0.0</v>
      </c>
      <c r="AC46" s="2">
        <f t="shared" si="51"/>
        <v>0</v>
      </c>
      <c r="AD46" s="35">
        <v>1.0</v>
      </c>
      <c r="AE46" s="2">
        <f t="shared" si="52"/>
        <v>1433.5</v>
      </c>
      <c r="AF46" s="35">
        <v>1.0</v>
      </c>
      <c r="AG46" s="2">
        <f t="shared" si="53"/>
        <v>1433.5</v>
      </c>
      <c r="AJ46" s="35">
        <v>1.0</v>
      </c>
      <c r="AK46" s="2">
        <f t="shared" si="54"/>
        <v>1433.5</v>
      </c>
      <c r="AL46" s="35"/>
      <c r="AM46" s="2">
        <f t="shared" si="55"/>
        <v>0</v>
      </c>
      <c r="AT46" s="35">
        <v>1.0</v>
      </c>
      <c r="AU46" s="2">
        <f t="shared" si="56"/>
        <v>1433.5</v>
      </c>
      <c r="AX46" s="35">
        <v>0.0</v>
      </c>
      <c r="AY46" s="2">
        <f t="shared" si="57"/>
        <v>0</v>
      </c>
      <c r="AZ46" s="35">
        <v>2.0</v>
      </c>
      <c r="BA46" s="4">
        <f t="shared" si="58"/>
        <v>2867</v>
      </c>
    </row>
    <row r="47">
      <c r="A47" s="37"/>
      <c r="B47" s="37" t="s">
        <v>83</v>
      </c>
      <c r="C47" s="38">
        <v>53.44</v>
      </c>
      <c r="E47" s="2"/>
      <c r="F47" s="35">
        <v>5.0</v>
      </c>
      <c r="G47" s="2">
        <f t="shared" si="46"/>
        <v>267.2</v>
      </c>
      <c r="H47" s="35">
        <v>8.0</v>
      </c>
      <c r="I47" s="2">
        <f t="shared" si="47"/>
        <v>427.52</v>
      </c>
      <c r="J47" s="35">
        <v>20.0</v>
      </c>
      <c r="K47" s="2">
        <f t="shared" si="48"/>
        <v>1068.8</v>
      </c>
      <c r="M47" s="2">
        <f t="shared" si="5"/>
        <v>0</v>
      </c>
      <c r="Q47" s="2">
        <f t="shared" si="7"/>
        <v>0</v>
      </c>
      <c r="R47" s="3"/>
      <c r="S47" s="2">
        <f t="shared" si="8"/>
        <v>0</v>
      </c>
      <c r="U47" s="2">
        <f t="shared" si="9"/>
        <v>0</v>
      </c>
      <c r="V47" s="35">
        <v>2.0</v>
      </c>
      <c r="W47" s="2">
        <f t="shared" si="49"/>
        <v>106.88</v>
      </c>
      <c r="X47" s="35">
        <v>2.0</v>
      </c>
      <c r="Y47" s="2">
        <f t="shared" si="50"/>
        <v>106.88</v>
      </c>
      <c r="AB47" s="35">
        <v>4.0</v>
      </c>
      <c r="AC47" s="2">
        <f t="shared" si="51"/>
        <v>213.76</v>
      </c>
      <c r="AD47" s="35">
        <v>2.0</v>
      </c>
      <c r="AE47" s="2">
        <f t="shared" si="52"/>
        <v>106.88</v>
      </c>
      <c r="AF47" s="35">
        <v>11.0</v>
      </c>
      <c r="AG47" s="2">
        <f t="shared" si="53"/>
        <v>587.84</v>
      </c>
      <c r="AK47" s="2"/>
      <c r="AL47" s="35">
        <v>15.0</v>
      </c>
      <c r="AM47" s="2">
        <f t="shared" si="55"/>
        <v>801.6</v>
      </c>
      <c r="AT47" s="35">
        <v>11.0</v>
      </c>
      <c r="AU47" s="2">
        <f t="shared" si="56"/>
        <v>587.84</v>
      </c>
      <c r="AV47" s="35">
        <v>5.0</v>
      </c>
      <c r="AW47" s="38">
        <f>C47*AV47</f>
        <v>267.2</v>
      </c>
      <c r="AX47" s="35">
        <v>12.0</v>
      </c>
      <c r="AY47" s="2">
        <f t="shared" si="57"/>
        <v>641.28</v>
      </c>
      <c r="AZ47" s="35">
        <v>4.0</v>
      </c>
      <c r="BA47" s="4">
        <f t="shared" si="58"/>
        <v>213.76</v>
      </c>
    </row>
    <row r="48">
      <c r="A48" s="37"/>
      <c r="B48" s="37" t="s">
        <v>84</v>
      </c>
      <c r="C48" s="38">
        <v>65.88</v>
      </c>
      <c r="E48" s="2"/>
      <c r="G48" s="2">
        <f t="shared" si="46"/>
        <v>0</v>
      </c>
      <c r="I48" s="2">
        <f t="shared" si="47"/>
        <v>0</v>
      </c>
      <c r="K48" s="2">
        <f t="shared" si="48"/>
        <v>0</v>
      </c>
      <c r="M48" s="2">
        <f t="shared" si="5"/>
        <v>0</v>
      </c>
      <c r="Q48" s="2">
        <f t="shared" si="7"/>
        <v>0</v>
      </c>
      <c r="R48" s="3"/>
      <c r="S48" s="2">
        <f t="shared" si="8"/>
        <v>0</v>
      </c>
      <c r="U48" s="2">
        <f t="shared" si="9"/>
        <v>0</v>
      </c>
      <c r="V48" s="35">
        <v>5.0</v>
      </c>
      <c r="W48" s="2">
        <f t="shared" si="49"/>
        <v>329.4</v>
      </c>
      <c r="X48" s="35">
        <v>2.0</v>
      </c>
      <c r="Y48" s="2">
        <f t="shared" si="50"/>
        <v>131.76</v>
      </c>
      <c r="AB48" s="35">
        <v>4.0</v>
      </c>
      <c r="AC48" s="2">
        <f t="shared" si="51"/>
        <v>263.52</v>
      </c>
      <c r="AD48" s="35">
        <v>2.0</v>
      </c>
      <c r="AE48" s="2">
        <f t="shared" si="52"/>
        <v>131.76</v>
      </c>
      <c r="AF48" s="35">
        <v>11.0</v>
      </c>
      <c r="AG48" s="2">
        <f t="shared" si="53"/>
        <v>724.68</v>
      </c>
      <c r="AK48" s="2"/>
      <c r="AL48" s="35">
        <v>5.0</v>
      </c>
      <c r="AM48" s="2">
        <f t="shared" si="55"/>
        <v>329.4</v>
      </c>
      <c r="AT48" s="35">
        <v>5.0</v>
      </c>
      <c r="AU48" s="2">
        <f t="shared" si="56"/>
        <v>329.4</v>
      </c>
      <c r="AX48" s="35">
        <v>9.0</v>
      </c>
      <c r="AY48" s="2">
        <f t="shared" si="57"/>
        <v>592.92</v>
      </c>
      <c r="AZ48" s="35">
        <v>2.0</v>
      </c>
      <c r="BA48" s="4">
        <f t="shared" si="58"/>
        <v>131.76</v>
      </c>
    </row>
    <row r="49">
      <c r="A49" s="37"/>
      <c r="B49" s="37" t="s">
        <v>85</v>
      </c>
      <c r="C49" s="38">
        <v>253.16</v>
      </c>
      <c r="E49" s="2"/>
      <c r="F49" s="35">
        <v>8.0</v>
      </c>
      <c r="G49" s="2">
        <f t="shared" si="46"/>
        <v>2025.28</v>
      </c>
      <c r="H49" s="35">
        <v>5.0</v>
      </c>
      <c r="I49" s="2">
        <f t="shared" si="47"/>
        <v>1265.8</v>
      </c>
      <c r="J49" s="35">
        <v>14.0</v>
      </c>
      <c r="K49" s="2">
        <f t="shared" si="48"/>
        <v>3544.24</v>
      </c>
      <c r="L49" s="35">
        <v>7.0</v>
      </c>
      <c r="M49" s="2">
        <f t="shared" si="5"/>
        <v>1772.12</v>
      </c>
      <c r="Q49" s="2">
        <f t="shared" si="7"/>
        <v>0</v>
      </c>
      <c r="R49" s="36">
        <v>1.0</v>
      </c>
      <c r="S49" s="2">
        <f t="shared" si="8"/>
        <v>253.16</v>
      </c>
      <c r="U49" s="2">
        <f t="shared" si="9"/>
        <v>0</v>
      </c>
      <c r="V49" s="35">
        <v>1.0</v>
      </c>
      <c r="W49" s="2">
        <f t="shared" si="49"/>
        <v>253.16</v>
      </c>
      <c r="X49" s="35">
        <v>1.0</v>
      </c>
      <c r="Y49" s="2">
        <f t="shared" si="50"/>
        <v>253.16</v>
      </c>
      <c r="AB49" s="35">
        <v>2.0</v>
      </c>
      <c r="AC49" s="2">
        <f t="shared" si="51"/>
        <v>506.32</v>
      </c>
      <c r="AD49" s="35">
        <v>1.0</v>
      </c>
      <c r="AE49" s="2">
        <f t="shared" si="52"/>
        <v>253.16</v>
      </c>
      <c r="AG49" s="2">
        <f t="shared" si="53"/>
        <v>0</v>
      </c>
      <c r="AK49" s="2"/>
      <c r="AL49" s="35">
        <v>30.0</v>
      </c>
      <c r="AM49" s="2">
        <f t="shared" si="55"/>
        <v>7594.8</v>
      </c>
      <c r="AT49" s="35">
        <v>21.0</v>
      </c>
      <c r="AU49" s="2">
        <f t="shared" si="56"/>
        <v>5316.36</v>
      </c>
      <c r="AX49" s="35">
        <v>13.0</v>
      </c>
      <c r="AY49" s="2">
        <f t="shared" si="57"/>
        <v>3291.08</v>
      </c>
      <c r="AZ49" s="35">
        <v>4.0</v>
      </c>
      <c r="BA49" s="4">
        <f t="shared" si="58"/>
        <v>1012.64</v>
      </c>
    </row>
    <row r="50">
      <c r="A50" s="37"/>
      <c r="B50" s="37" t="s">
        <v>86</v>
      </c>
      <c r="C50" s="38">
        <v>198.02</v>
      </c>
      <c r="E50" s="2"/>
      <c r="F50" s="35">
        <v>8.0</v>
      </c>
      <c r="G50" s="2">
        <f t="shared" si="46"/>
        <v>1584.16</v>
      </c>
      <c r="H50" s="35">
        <v>5.0</v>
      </c>
      <c r="I50" s="2">
        <f t="shared" si="47"/>
        <v>990.1</v>
      </c>
      <c r="J50" s="35">
        <v>14.0</v>
      </c>
      <c r="K50" s="2">
        <f t="shared" si="48"/>
        <v>2772.28</v>
      </c>
      <c r="M50" s="2">
        <f t="shared" si="5"/>
        <v>0</v>
      </c>
      <c r="Q50" s="2">
        <f t="shared" si="7"/>
        <v>0</v>
      </c>
      <c r="R50" s="3"/>
      <c r="S50" s="2">
        <f t="shared" si="8"/>
        <v>0</v>
      </c>
      <c r="U50" s="2">
        <f t="shared" si="9"/>
        <v>0</v>
      </c>
      <c r="V50" s="35">
        <v>2.0</v>
      </c>
      <c r="W50" s="2">
        <f t="shared" si="49"/>
        <v>396.04</v>
      </c>
      <c r="X50" s="35">
        <v>2.0</v>
      </c>
      <c r="Y50" s="2">
        <f t="shared" si="50"/>
        <v>396.04</v>
      </c>
      <c r="AB50" s="35">
        <v>2.0</v>
      </c>
      <c r="AC50" s="2">
        <f t="shared" si="51"/>
        <v>396.04</v>
      </c>
      <c r="AD50" s="35">
        <v>2.0</v>
      </c>
      <c r="AE50" s="2">
        <f t="shared" si="52"/>
        <v>396.04</v>
      </c>
      <c r="AG50" s="2">
        <f t="shared" si="53"/>
        <v>0</v>
      </c>
      <c r="AK50" s="2"/>
      <c r="AL50" s="35"/>
      <c r="AM50" s="2">
        <f t="shared" si="55"/>
        <v>0</v>
      </c>
      <c r="AU50" s="2">
        <f t="shared" si="56"/>
        <v>0</v>
      </c>
      <c r="AX50" s="35">
        <v>0.0</v>
      </c>
      <c r="AY50" s="2">
        <f t="shared" si="57"/>
        <v>0</v>
      </c>
      <c r="AZ50" s="35">
        <v>0.0</v>
      </c>
      <c r="BA50" s="4">
        <f t="shared" si="58"/>
        <v>0</v>
      </c>
    </row>
    <row r="51">
      <c r="A51" s="37"/>
      <c r="B51" s="37" t="s">
        <v>87</v>
      </c>
      <c r="C51" s="38">
        <v>236.5</v>
      </c>
      <c r="E51" s="2"/>
      <c r="G51" s="2">
        <f t="shared" si="46"/>
        <v>0</v>
      </c>
      <c r="I51" s="2">
        <f t="shared" si="47"/>
        <v>0</v>
      </c>
      <c r="K51" s="2">
        <f t="shared" si="48"/>
        <v>0</v>
      </c>
      <c r="M51" s="2">
        <f t="shared" si="5"/>
        <v>0</v>
      </c>
      <c r="Q51" s="2">
        <f t="shared" si="7"/>
        <v>0</v>
      </c>
      <c r="R51" s="3"/>
      <c r="S51" s="2">
        <f t="shared" si="8"/>
        <v>0</v>
      </c>
      <c r="U51" s="2">
        <f t="shared" si="9"/>
        <v>0</v>
      </c>
      <c r="V51" s="35">
        <v>6.0</v>
      </c>
      <c r="W51" s="2">
        <f t="shared" si="49"/>
        <v>1419</v>
      </c>
      <c r="X51" s="35">
        <v>6.0</v>
      </c>
      <c r="Y51" s="2">
        <f t="shared" si="50"/>
        <v>1419</v>
      </c>
      <c r="AB51" s="35">
        <v>2.0</v>
      </c>
      <c r="AC51" s="2">
        <f t="shared" si="51"/>
        <v>473</v>
      </c>
      <c r="AD51" s="35">
        <v>5.0</v>
      </c>
      <c r="AE51" s="2">
        <f t="shared" si="52"/>
        <v>1182.5</v>
      </c>
      <c r="AF51" s="35">
        <v>10.0</v>
      </c>
      <c r="AG51" s="2">
        <f t="shared" si="53"/>
        <v>2365</v>
      </c>
      <c r="AK51" s="2"/>
      <c r="AL51" s="35"/>
      <c r="AM51" s="2">
        <f t="shared" si="55"/>
        <v>0</v>
      </c>
      <c r="AU51" s="2">
        <f t="shared" si="56"/>
        <v>0</v>
      </c>
      <c r="AX51" s="35">
        <v>0.0</v>
      </c>
      <c r="AY51" s="2">
        <f t="shared" si="57"/>
        <v>0</v>
      </c>
      <c r="AZ51" s="35">
        <v>0.0</v>
      </c>
      <c r="BA51" s="4">
        <f t="shared" si="58"/>
        <v>0</v>
      </c>
    </row>
    <row r="52">
      <c r="A52" s="37"/>
      <c r="B52" s="37" t="s">
        <v>88</v>
      </c>
      <c r="C52" s="38">
        <v>180.27</v>
      </c>
      <c r="E52" s="2"/>
      <c r="G52" s="2">
        <f t="shared" si="46"/>
        <v>0</v>
      </c>
      <c r="I52" s="2">
        <f t="shared" si="47"/>
        <v>0</v>
      </c>
      <c r="K52" s="2">
        <f t="shared" si="48"/>
        <v>0</v>
      </c>
      <c r="M52" s="2">
        <f t="shared" si="5"/>
        <v>0</v>
      </c>
      <c r="Q52" s="2">
        <f t="shared" si="7"/>
        <v>0</v>
      </c>
      <c r="R52" s="3"/>
      <c r="S52" s="2">
        <f t="shared" si="8"/>
        <v>0</v>
      </c>
      <c r="U52" s="2">
        <f t="shared" si="9"/>
        <v>0</v>
      </c>
      <c r="V52" s="35">
        <v>5.0</v>
      </c>
      <c r="W52" s="2">
        <f t="shared" si="49"/>
        <v>901.35</v>
      </c>
      <c r="X52" s="35">
        <v>5.0</v>
      </c>
      <c r="Y52" s="2">
        <f t="shared" si="50"/>
        <v>901.35</v>
      </c>
      <c r="AB52" s="35">
        <v>2.0</v>
      </c>
      <c r="AC52" s="2">
        <f t="shared" si="51"/>
        <v>360.54</v>
      </c>
      <c r="AD52" s="35">
        <v>4.0</v>
      </c>
      <c r="AE52" s="2">
        <f t="shared" si="52"/>
        <v>721.08</v>
      </c>
      <c r="AG52" s="2">
        <f t="shared" si="53"/>
        <v>0</v>
      </c>
      <c r="AK52" s="2"/>
      <c r="AL52" s="35"/>
      <c r="AM52" s="2">
        <f t="shared" si="55"/>
        <v>0</v>
      </c>
      <c r="AU52" s="2">
        <f t="shared" si="56"/>
        <v>0</v>
      </c>
      <c r="AX52" s="35">
        <v>0.0</v>
      </c>
      <c r="AY52" s="2">
        <f t="shared" si="57"/>
        <v>0</v>
      </c>
      <c r="AZ52" s="35">
        <v>0.0</v>
      </c>
      <c r="BA52" s="4">
        <f t="shared" si="58"/>
        <v>0</v>
      </c>
    </row>
    <row r="53">
      <c r="A53" s="37"/>
      <c r="B53" s="37" t="s">
        <v>89</v>
      </c>
      <c r="C53" s="38">
        <v>216.34</v>
      </c>
      <c r="E53" s="2"/>
      <c r="F53" s="35">
        <v>11.0</v>
      </c>
      <c r="G53" s="2">
        <f t="shared" si="46"/>
        <v>2379.74</v>
      </c>
      <c r="H53" s="35">
        <v>5.0</v>
      </c>
      <c r="I53" s="2">
        <f t="shared" si="47"/>
        <v>1081.7</v>
      </c>
      <c r="J53" s="35">
        <v>14.0</v>
      </c>
      <c r="K53" s="2">
        <f t="shared" si="48"/>
        <v>3028.76</v>
      </c>
      <c r="M53" s="2">
        <f t="shared" si="5"/>
        <v>0</v>
      </c>
      <c r="Q53" s="2">
        <f t="shared" si="7"/>
        <v>0</v>
      </c>
      <c r="R53" s="3"/>
      <c r="S53" s="2">
        <f t="shared" si="8"/>
        <v>0</v>
      </c>
      <c r="T53" s="35">
        <v>1.0</v>
      </c>
      <c r="U53" s="2">
        <f t="shared" si="9"/>
        <v>216.34</v>
      </c>
      <c r="V53" s="35">
        <v>8.0</v>
      </c>
      <c r="W53" s="2">
        <f t="shared" si="49"/>
        <v>1730.72</v>
      </c>
      <c r="X53" s="35">
        <v>7.0</v>
      </c>
      <c r="Y53" s="2">
        <f t="shared" si="50"/>
        <v>1514.38</v>
      </c>
      <c r="AB53" s="35">
        <v>2.0</v>
      </c>
      <c r="AC53" s="2">
        <f t="shared" si="51"/>
        <v>432.68</v>
      </c>
      <c r="AD53" s="35">
        <v>6.0</v>
      </c>
      <c r="AE53" s="2">
        <f t="shared" si="52"/>
        <v>1298.04</v>
      </c>
      <c r="AG53" s="2">
        <f t="shared" si="53"/>
        <v>0</v>
      </c>
      <c r="AJ53" s="35">
        <v>2.0</v>
      </c>
      <c r="AK53" s="2">
        <f t="shared" ref="AK53:AK55" si="60">$C53*AJ53</f>
        <v>432.68</v>
      </c>
      <c r="AL53" s="35">
        <v>12.0</v>
      </c>
      <c r="AM53" s="2">
        <f t="shared" si="55"/>
        <v>2596.08</v>
      </c>
      <c r="AU53" s="2">
        <f t="shared" si="56"/>
        <v>0</v>
      </c>
      <c r="AX53" s="35">
        <v>20.0</v>
      </c>
      <c r="AY53" s="2">
        <f t="shared" si="57"/>
        <v>4326.8</v>
      </c>
      <c r="AZ53" s="35">
        <v>2.0</v>
      </c>
      <c r="BA53" s="4">
        <f t="shared" si="58"/>
        <v>432.68</v>
      </c>
    </row>
    <row r="54">
      <c r="A54" s="37"/>
      <c r="B54" s="37" t="s">
        <v>90</v>
      </c>
      <c r="C54" s="38">
        <v>497.87</v>
      </c>
      <c r="E54" s="2"/>
      <c r="F54" s="35">
        <v>6.0</v>
      </c>
      <c r="G54" s="2">
        <f t="shared" si="46"/>
        <v>2987.22</v>
      </c>
      <c r="H54" s="35">
        <v>10.0</v>
      </c>
      <c r="I54" s="2">
        <f t="shared" si="47"/>
        <v>4978.7</v>
      </c>
      <c r="J54" s="35">
        <v>8.0</v>
      </c>
      <c r="K54" s="2">
        <f t="shared" si="48"/>
        <v>3982.96</v>
      </c>
      <c r="L54" s="35">
        <v>4.0</v>
      </c>
      <c r="M54" s="2">
        <f t="shared" si="5"/>
        <v>1991.48</v>
      </c>
      <c r="P54" s="35">
        <v>1.0</v>
      </c>
      <c r="Q54" s="2">
        <f t="shared" si="7"/>
        <v>497.87</v>
      </c>
      <c r="R54" s="36">
        <v>1.0</v>
      </c>
      <c r="S54" s="2">
        <f t="shared" si="8"/>
        <v>497.87</v>
      </c>
      <c r="U54" s="2">
        <f t="shared" si="9"/>
        <v>0</v>
      </c>
      <c r="W54" s="2">
        <f t="shared" si="49"/>
        <v>0</v>
      </c>
      <c r="X54" s="35">
        <v>3.0</v>
      </c>
      <c r="Y54" s="2">
        <f t="shared" si="50"/>
        <v>1493.61</v>
      </c>
      <c r="AB54" s="35">
        <v>2.0</v>
      </c>
      <c r="AC54" s="2">
        <f t="shared" si="51"/>
        <v>995.74</v>
      </c>
      <c r="AE54" s="2">
        <f t="shared" si="52"/>
        <v>0</v>
      </c>
      <c r="AG54" s="2">
        <f t="shared" si="53"/>
        <v>0</v>
      </c>
      <c r="AJ54" s="35">
        <v>1.0</v>
      </c>
      <c r="AK54" s="2">
        <f t="shared" si="60"/>
        <v>497.87</v>
      </c>
      <c r="AL54" s="35">
        <v>3.0</v>
      </c>
      <c r="AM54" s="2">
        <f t="shared" si="55"/>
        <v>1493.61</v>
      </c>
      <c r="AT54" s="35">
        <v>3.0</v>
      </c>
      <c r="AU54" s="2">
        <f t="shared" si="56"/>
        <v>1493.61</v>
      </c>
      <c r="AV54" s="35">
        <v>3.0</v>
      </c>
      <c r="AW54" s="38">
        <f t="shared" ref="AW54:AW55" si="61">C54*AV54</f>
        <v>1493.61</v>
      </c>
      <c r="AX54" s="35">
        <v>4.0</v>
      </c>
      <c r="AY54" s="2">
        <f t="shared" si="57"/>
        <v>1991.48</v>
      </c>
      <c r="AZ54" s="35">
        <v>6.0</v>
      </c>
      <c r="BA54" s="4">
        <f t="shared" si="58"/>
        <v>2987.22</v>
      </c>
    </row>
    <row r="55">
      <c r="A55" s="37"/>
      <c r="B55" s="37" t="s">
        <v>91</v>
      </c>
      <c r="C55" s="38">
        <v>176.78</v>
      </c>
      <c r="E55" s="2"/>
      <c r="F55" s="35">
        <v>36.0</v>
      </c>
      <c r="G55" s="2">
        <f t="shared" si="46"/>
        <v>6364.08</v>
      </c>
      <c r="I55" s="2">
        <f t="shared" si="47"/>
        <v>0</v>
      </c>
      <c r="K55" s="2">
        <f t="shared" si="48"/>
        <v>0</v>
      </c>
      <c r="L55" s="35">
        <v>14.0</v>
      </c>
      <c r="M55" s="2">
        <f t="shared" si="5"/>
        <v>2474.92</v>
      </c>
      <c r="Q55" s="2">
        <f t="shared" si="7"/>
        <v>0</v>
      </c>
      <c r="R55" s="3"/>
      <c r="S55" s="2">
        <f t="shared" si="8"/>
        <v>0</v>
      </c>
      <c r="U55" s="2">
        <f t="shared" si="9"/>
        <v>0</v>
      </c>
      <c r="W55" s="2">
        <f t="shared" si="49"/>
        <v>0</v>
      </c>
      <c r="X55" s="35">
        <v>31.0</v>
      </c>
      <c r="Y55" s="2">
        <f t="shared" si="50"/>
        <v>5480.18</v>
      </c>
      <c r="AB55" s="35">
        <v>8.0</v>
      </c>
      <c r="AC55" s="2">
        <f t="shared" si="51"/>
        <v>1414.24</v>
      </c>
      <c r="AD55" s="35">
        <v>10.0</v>
      </c>
      <c r="AE55" s="2">
        <f t="shared" si="52"/>
        <v>1767.8</v>
      </c>
      <c r="AF55" s="35">
        <v>16.0</v>
      </c>
      <c r="AG55" s="2">
        <f t="shared" si="53"/>
        <v>2828.48</v>
      </c>
      <c r="AJ55" s="35">
        <v>10.0</v>
      </c>
      <c r="AK55" s="2">
        <f t="shared" si="60"/>
        <v>1767.8</v>
      </c>
      <c r="AL55" s="35">
        <v>20.0</v>
      </c>
      <c r="AM55" s="2">
        <f t="shared" si="55"/>
        <v>3535.6</v>
      </c>
      <c r="AT55" s="35">
        <v>24.0</v>
      </c>
      <c r="AU55" s="2">
        <f t="shared" si="56"/>
        <v>4242.72</v>
      </c>
      <c r="AV55" s="35">
        <v>10.0</v>
      </c>
      <c r="AW55" s="38">
        <f t="shared" si="61"/>
        <v>1767.8</v>
      </c>
      <c r="AX55" s="35">
        <v>26.0</v>
      </c>
      <c r="AY55" s="2">
        <f t="shared" si="57"/>
        <v>4596.28</v>
      </c>
      <c r="AZ55" s="35">
        <v>30.0</v>
      </c>
      <c r="BA55" s="4">
        <f t="shared" si="58"/>
        <v>5303.4</v>
      </c>
    </row>
    <row r="56" ht="44.25" customHeight="1">
      <c r="A56" s="40"/>
      <c r="B56" s="40" t="s">
        <v>92</v>
      </c>
      <c r="C56" s="38">
        <v>210.86</v>
      </c>
      <c r="E56" s="2"/>
      <c r="F56" s="35">
        <v>2.0</v>
      </c>
      <c r="G56" s="2">
        <f t="shared" si="46"/>
        <v>421.72</v>
      </c>
      <c r="I56" s="2">
        <f t="shared" si="47"/>
        <v>0</v>
      </c>
      <c r="J56" s="35">
        <v>0.0</v>
      </c>
      <c r="K56" s="2">
        <f t="shared" si="48"/>
        <v>0</v>
      </c>
      <c r="M56" s="2">
        <f t="shared" si="5"/>
        <v>0</v>
      </c>
      <c r="Q56" s="2">
        <f t="shared" si="7"/>
        <v>0</v>
      </c>
      <c r="R56" s="3"/>
      <c r="S56" s="2">
        <f t="shared" si="8"/>
        <v>0</v>
      </c>
      <c r="U56" s="2">
        <f t="shared" si="9"/>
        <v>0</v>
      </c>
      <c r="W56" s="2">
        <f t="shared" si="49"/>
        <v>0</v>
      </c>
      <c r="X56" s="35">
        <v>16.0</v>
      </c>
      <c r="Y56" s="2">
        <f t="shared" si="50"/>
        <v>3373.76</v>
      </c>
      <c r="AC56" s="2">
        <f t="shared" si="51"/>
        <v>0</v>
      </c>
      <c r="AD56" s="35">
        <v>5.0</v>
      </c>
      <c r="AE56" s="2">
        <f t="shared" si="52"/>
        <v>1054.3</v>
      </c>
      <c r="AG56" s="2">
        <f t="shared" si="53"/>
        <v>0</v>
      </c>
      <c r="AK56" s="2"/>
      <c r="AL56" s="35"/>
      <c r="AM56" s="2">
        <f t="shared" si="55"/>
        <v>0</v>
      </c>
      <c r="AU56" s="2">
        <f t="shared" si="56"/>
        <v>0</v>
      </c>
      <c r="AX56" s="35">
        <v>0.0</v>
      </c>
      <c r="AY56" s="2">
        <f t="shared" si="57"/>
        <v>0</v>
      </c>
      <c r="AZ56" s="35">
        <v>0.0</v>
      </c>
      <c r="BA56" s="4">
        <f t="shared" si="58"/>
        <v>0</v>
      </c>
    </row>
    <row r="57">
      <c r="A57" s="37"/>
      <c r="B57" s="37" t="s">
        <v>93</v>
      </c>
      <c r="C57" s="38">
        <v>58.73</v>
      </c>
      <c r="E57" s="2"/>
      <c r="G57" s="2">
        <f t="shared" si="46"/>
        <v>0</v>
      </c>
      <c r="I57" s="2">
        <f t="shared" si="47"/>
        <v>0</v>
      </c>
      <c r="K57" s="2">
        <f t="shared" si="48"/>
        <v>0</v>
      </c>
      <c r="M57" s="2">
        <f t="shared" si="5"/>
        <v>0</v>
      </c>
      <c r="Q57" s="2">
        <f t="shared" si="7"/>
        <v>0</v>
      </c>
      <c r="R57" s="3"/>
      <c r="S57" s="2">
        <f t="shared" si="8"/>
        <v>0</v>
      </c>
      <c r="U57" s="2">
        <f t="shared" si="9"/>
        <v>0</v>
      </c>
      <c r="W57" s="2">
        <f t="shared" si="49"/>
        <v>0</v>
      </c>
      <c r="X57" s="35">
        <v>4.0</v>
      </c>
      <c r="Y57" s="2">
        <f t="shared" si="50"/>
        <v>234.92</v>
      </c>
      <c r="AC57" s="2">
        <f t="shared" si="51"/>
        <v>0</v>
      </c>
      <c r="AD57" s="35">
        <v>5.0</v>
      </c>
      <c r="AE57" s="2">
        <f t="shared" si="52"/>
        <v>293.65</v>
      </c>
      <c r="AG57" s="2">
        <f t="shared" si="53"/>
        <v>0</v>
      </c>
      <c r="AK57" s="2"/>
      <c r="AL57" s="35"/>
      <c r="AM57" s="2">
        <f t="shared" si="55"/>
        <v>0</v>
      </c>
      <c r="AU57" s="2">
        <f t="shared" si="56"/>
        <v>0</v>
      </c>
      <c r="AX57" s="35">
        <v>0.0</v>
      </c>
      <c r="AY57" s="2">
        <f t="shared" si="57"/>
        <v>0</v>
      </c>
      <c r="AZ57" s="35">
        <v>0.0</v>
      </c>
      <c r="BA57" s="4">
        <f t="shared" si="58"/>
        <v>0</v>
      </c>
    </row>
    <row r="58">
      <c r="A58" s="37"/>
      <c r="B58" s="37" t="s">
        <v>94</v>
      </c>
      <c r="C58" s="38">
        <v>39.63</v>
      </c>
      <c r="E58" s="2"/>
      <c r="G58" s="2">
        <f t="shared" si="46"/>
        <v>0</v>
      </c>
      <c r="I58" s="2">
        <f t="shared" si="47"/>
        <v>0</v>
      </c>
      <c r="K58" s="2">
        <f t="shared" si="48"/>
        <v>0</v>
      </c>
      <c r="M58" s="2">
        <f t="shared" si="5"/>
        <v>0</v>
      </c>
      <c r="Q58" s="2">
        <f t="shared" si="7"/>
        <v>0</v>
      </c>
      <c r="R58" s="3"/>
      <c r="S58" s="2">
        <f t="shared" si="8"/>
        <v>0</v>
      </c>
      <c r="U58" s="2">
        <f t="shared" si="9"/>
        <v>0</v>
      </c>
      <c r="W58" s="2">
        <f t="shared" si="49"/>
        <v>0</v>
      </c>
      <c r="X58" s="35">
        <v>4.0</v>
      </c>
      <c r="Y58" s="2">
        <f t="shared" si="50"/>
        <v>158.52</v>
      </c>
      <c r="AC58" s="2">
        <f t="shared" si="51"/>
        <v>0</v>
      </c>
      <c r="AD58" s="35">
        <v>5.0</v>
      </c>
      <c r="AE58" s="2">
        <f t="shared" si="52"/>
        <v>198.15</v>
      </c>
      <c r="AG58" s="2">
        <f t="shared" si="53"/>
        <v>0</v>
      </c>
      <c r="AK58" s="2"/>
      <c r="AL58" s="35"/>
      <c r="AM58" s="2">
        <f t="shared" si="55"/>
        <v>0</v>
      </c>
      <c r="AU58" s="2">
        <f t="shared" si="56"/>
        <v>0</v>
      </c>
      <c r="AX58" s="35">
        <v>0.0</v>
      </c>
      <c r="AY58" s="2">
        <f t="shared" si="57"/>
        <v>0</v>
      </c>
      <c r="AZ58" s="35">
        <v>0.0</v>
      </c>
      <c r="BA58" s="4">
        <f t="shared" si="58"/>
        <v>0</v>
      </c>
    </row>
    <row r="59">
      <c r="A59" s="37"/>
      <c r="B59" s="37" t="s">
        <v>95</v>
      </c>
      <c r="C59" s="38">
        <v>10.61</v>
      </c>
      <c r="E59" s="2"/>
      <c r="G59" s="2">
        <f t="shared" si="46"/>
        <v>0</v>
      </c>
      <c r="I59" s="2">
        <f t="shared" si="47"/>
        <v>0</v>
      </c>
      <c r="K59" s="2">
        <f t="shared" si="48"/>
        <v>0</v>
      </c>
      <c r="M59" s="2">
        <f t="shared" si="5"/>
        <v>0</v>
      </c>
      <c r="Q59" s="2">
        <f t="shared" si="7"/>
        <v>0</v>
      </c>
      <c r="R59" s="3"/>
      <c r="S59" s="2">
        <f t="shared" si="8"/>
        <v>0</v>
      </c>
      <c r="U59" s="2">
        <f t="shared" si="9"/>
        <v>0</v>
      </c>
      <c r="W59" s="2">
        <f t="shared" si="49"/>
        <v>0</v>
      </c>
      <c r="X59" s="35">
        <v>4.0</v>
      </c>
      <c r="Y59" s="2">
        <f t="shared" si="50"/>
        <v>42.44</v>
      </c>
      <c r="AB59" s="35">
        <v>3.0</v>
      </c>
      <c r="AC59" s="2">
        <f t="shared" si="51"/>
        <v>31.83</v>
      </c>
      <c r="AD59" s="35">
        <v>3.0</v>
      </c>
      <c r="AE59" s="2">
        <f t="shared" si="52"/>
        <v>31.83</v>
      </c>
      <c r="AG59" s="2">
        <f t="shared" si="53"/>
        <v>0</v>
      </c>
      <c r="AK59" s="2"/>
      <c r="AM59" s="2">
        <f t="shared" si="55"/>
        <v>0</v>
      </c>
      <c r="AU59" s="2">
        <f t="shared" si="56"/>
        <v>0</v>
      </c>
      <c r="AX59" s="35">
        <v>0.0</v>
      </c>
      <c r="AY59" s="2">
        <f t="shared" si="57"/>
        <v>0</v>
      </c>
      <c r="AZ59" s="35">
        <v>0.0</v>
      </c>
      <c r="BA59" s="4">
        <f t="shared" si="58"/>
        <v>0</v>
      </c>
    </row>
    <row r="60">
      <c r="A60" s="37"/>
      <c r="B60" s="37" t="s">
        <v>96</v>
      </c>
      <c r="C60" s="38">
        <v>915.0</v>
      </c>
      <c r="E60" s="2"/>
      <c r="G60" s="2">
        <f t="shared" si="46"/>
        <v>0</v>
      </c>
      <c r="I60" s="2">
        <f t="shared" si="47"/>
        <v>0</v>
      </c>
      <c r="K60" s="2">
        <f t="shared" si="48"/>
        <v>0</v>
      </c>
      <c r="M60" s="2">
        <f t="shared" si="5"/>
        <v>0</v>
      </c>
      <c r="Q60" s="2">
        <f t="shared" si="7"/>
        <v>0</v>
      </c>
      <c r="R60" s="3"/>
      <c r="S60" s="2">
        <f t="shared" si="8"/>
        <v>0</v>
      </c>
      <c r="U60" s="2">
        <f t="shared" si="9"/>
        <v>0</v>
      </c>
      <c r="W60" s="2">
        <f t="shared" si="49"/>
        <v>0</v>
      </c>
      <c r="X60" s="35">
        <v>1.0</v>
      </c>
      <c r="Y60" s="2">
        <f t="shared" si="50"/>
        <v>915</v>
      </c>
      <c r="AC60" s="2">
        <f t="shared" si="51"/>
        <v>0</v>
      </c>
      <c r="AD60" s="35">
        <v>1.0</v>
      </c>
      <c r="AE60" s="2">
        <f t="shared" si="52"/>
        <v>915</v>
      </c>
      <c r="AG60" s="2">
        <f t="shared" si="53"/>
        <v>0</v>
      </c>
      <c r="AK60" s="2"/>
      <c r="AL60" s="35"/>
      <c r="AM60" s="2">
        <f t="shared" si="55"/>
        <v>0</v>
      </c>
      <c r="AU60" s="2">
        <f t="shared" si="56"/>
        <v>0</v>
      </c>
      <c r="AX60" s="35">
        <v>0.0</v>
      </c>
      <c r="AY60" s="2">
        <f t="shared" si="57"/>
        <v>0</v>
      </c>
      <c r="AZ60" s="35">
        <v>0.0</v>
      </c>
      <c r="BA60" s="4">
        <f t="shared" si="58"/>
        <v>0</v>
      </c>
    </row>
    <row r="61">
      <c r="A61" s="37"/>
      <c r="B61" s="37" t="s">
        <v>97</v>
      </c>
      <c r="C61" s="38">
        <v>1671.74</v>
      </c>
      <c r="E61" s="2"/>
      <c r="F61" s="35">
        <v>2.0</v>
      </c>
      <c r="G61" s="2">
        <f t="shared" si="46"/>
        <v>3343.48</v>
      </c>
      <c r="I61" s="2">
        <f t="shared" si="47"/>
        <v>0</v>
      </c>
      <c r="K61" s="2">
        <f t="shared" si="48"/>
        <v>0</v>
      </c>
      <c r="M61" s="2">
        <f t="shared" si="5"/>
        <v>0</v>
      </c>
      <c r="Q61" s="2">
        <f t="shared" si="7"/>
        <v>0</v>
      </c>
      <c r="R61" s="3"/>
      <c r="S61" s="2">
        <f t="shared" si="8"/>
        <v>0</v>
      </c>
      <c r="U61" s="2">
        <f t="shared" si="9"/>
        <v>0</v>
      </c>
      <c r="V61" s="35">
        <v>1.0</v>
      </c>
      <c r="W61" s="2">
        <f t="shared" si="49"/>
        <v>1671.74</v>
      </c>
      <c r="X61" s="35">
        <v>1.0</v>
      </c>
      <c r="Y61" s="2">
        <f t="shared" si="50"/>
        <v>1671.74</v>
      </c>
      <c r="AB61" s="35">
        <v>1.0</v>
      </c>
      <c r="AC61" s="2">
        <f t="shared" si="51"/>
        <v>1671.74</v>
      </c>
      <c r="AD61" s="35">
        <v>1.0</v>
      </c>
      <c r="AE61" s="2">
        <f t="shared" si="52"/>
        <v>1671.74</v>
      </c>
      <c r="AG61" s="2">
        <f t="shared" si="53"/>
        <v>0</v>
      </c>
      <c r="AK61" s="2"/>
      <c r="AL61" s="35">
        <v>1.0</v>
      </c>
      <c r="AM61" s="2">
        <f t="shared" si="55"/>
        <v>1671.74</v>
      </c>
      <c r="AT61" s="35">
        <v>2.0</v>
      </c>
      <c r="AU61" s="2">
        <f t="shared" si="56"/>
        <v>3343.48</v>
      </c>
      <c r="AV61" s="35">
        <v>1.0</v>
      </c>
      <c r="AW61" s="38">
        <f>C61*AV61</f>
        <v>1671.74</v>
      </c>
      <c r="AX61" s="35">
        <v>1.0</v>
      </c>
      <c r="AY61" s="2">
        <f t="shared" si="57"/>
        <v>1671.74</v>
      </c>
      <c r="AZ61" s="35">
        <v>1.0</v>
      </c>
      <c r="BA61" s="4">
        <f t="shared" si="58"/>
        <v>1671.74</v>
      </c>
    </row>
    <row r="62">
      <c r="A62" s="37"/>
      <c r="B62" s="37" t="s">
        <v>98</v>
      </c>
      <c r="C62" s="38">
        <v>23.64</v>
      </c>
      <c r="E62" s="2"/>
      <c r="F62" s="35">
        <v>2.0</v>
      </c>
      <c r="G62" s="2">
        <f t="shared" si="46"/>
        <v>47.28</v>
      </c>
      <c r="I62" s="2">
        <f t="shared" si="47"/>
        <v>0</v>
      </c>
      <c r="K62" s="2">
        <f t="shared" si="48"/>
        <v>0</v>
      </c>
      <c r="M62" s="2">
        <f t="shared" si="5"/>
        <v>0</v>
      </c>
      <c r="Q62" s="2">
        <f t="shared" si="7"/>
        <v>0</v>
      </c>
      <c r="R62" s="3"/>
      <c r="S62" s="2">
        <f t="shared" si="8"/>
        <v>0</v>
      </c>
      <c r="U62" s="2">
        <f t="shared" si="9"/>
        <v>0</v>
      </c>
      <c r="V62" s="35">
        <v>2.0</v>
      </c>
      <c r="W62" s="2">
        <f t="shared" si="49"/>
        <v>47.28</v>
      </c>
      <c r="X62" s="35">
        <v>2.0</v>
      </c>
      <c r="Y62" s="2">
        <f t="shared" si="50"/>
        <v>47.28</v>
      </c>
      <c r="AB62" s="35">
        <v>2.0</v>
      </c>
      <c r="AC62" s="2">
        <f t="shared" si="51"/>
        <v>47.28</v>
      </c>
      <c r="AD62" s="35">
        <v>2.0</v>
      </c>
      <c r="AE62" s="2">
        <f t="shared" si="52"/>
        <v>47.28</v>
      </c>
      <c r="AG62" s="2">
        <f t="shared" si="53"/>
        <v>0</v>
      </c>
      <c r="AK62" s="2"/>
      <c r="AL62" s="35">
        <v>2.0</v>
      </c>
      <c r="AM62" s="2">
        <f t="shared" si="55"/>
        <v>47.28</v>
      </c>
      <c r="AU62" s="2">
        <f t="shared" si="56"/>
        <v>0</v>
      </c>
      <c r="AX62" s="35">
        <v>1.0</v>
      </c>
      <c r="AY62" s="2">
        <f t="shared" si="57"/>
        <v>23.64</v>
      </c>
      <c r="AZ62" s="35">
        <v>1.0</v>
      </c>
      <c r="BA62" s="4">
        <f t="shared" si="58"/>
        <v>23.64</v>
      </c>
    </row>
    <row r="63">
      <c r="A63" s="37"/>
      <c r="B63" s="37" t="s">
        <v>99</v>
      </c>
      <c r="C63" s="38">
        <v>271.21</v>
      </c>
      <c r="E63" s="2"/>
      <c r="F63" s="35">
        <v>2.0</v>
      </c>
      <c r="G63" s="2">
        <f t="shared" si="46"/>
        <v>542.42</v>
      </c>
      <c r="I63" s="2">
        <f t="shared" si="47"/>
        <v>0</v>
      </c>
      <c r="K63" s="2">
        <f t="shared" si="48"/>
        <v>0</v>
      </c>
      <c r="M63" s="2">
        <f t="shared" si="5"/>
        <v>0</v>
      </c>
      <c r="Q63" s="2">
        <f t="shared" si="7"/>
        <v>0</v>
      </c>
      <c r="R63" s="3"/>
      <c r="S63" s="2">
        <f t="shared" si="8"/>
        <v>0</v>
      </c>
      <c r="U63" s="2">
        <f t="shared" si="9"/>
        <v>0</v>
      </c>
      <c r="V63" s="35">
        <v>1.0</v>
      </c>
      <c r="W63" s="2">
        <f t="shared" si="49"/>
        <v>271.21</v>
      </c>
      <c r="X63" s="35">
        <v>1.0</v>
      </c>
      <c r="Y63" s="2">
        <f t="shared" si="50"/>
        <v>271.21</v>
      </c>
      <c r="AB63" s="35">
        <v>1.0</v>
      </c>
      <c r="AC63" s="2">
        <f t="shared" si="51"/>
        <v>271.21</v>
      </c>
      <c r="AD63" s="35">
        <v>1.0</v>
      </c>
      <c r="AE63" s="2">
        <f t="shared" si="52"/>
        <v>271.21</v>
      </c>
      <c r="AG63" s="2">
        <f t="shared" si="53"/>
        <v>0</v>
      </c>
      <c r="AK63" s="2"/>
      <c r="AL63" s="35">
        <v>1.0</v>
      </c>
      <c r="AM63" s="2">
        <f t="shared" si="55"/>
        <v>271.21</v>
      </c>
      <c r="AT63" s="35">
        <v>2.0</v>
      </c>
      <c r="AU63" s="2">
        <f t="shared" si="56"/>
        <v>542.42</v>
      </c>
      <c r="AV63" s="35">
        <v>1.0</v>
      </c>
      <c r="AW63" s="38">
        <f>C63*AV63</f>
        <v>271.21</v>
      </c>
      <c r="AX63" s="35">
        <v>1.0</v>
      </c>
      <c r="AY63" s="2">
        <f t="shared" si="57"/>
        <v>271.21</v>
      </c>
      <c r="AZ63" s="35">
        <v>1.0</v>
      </c>
      <c r="BA63" s="4">
        <f t="shared" si="58"/>
        <v>271.21</v>
      </c>
    </row>
    <row r="64">
      <c r="A64" s="37"/>
      <c r="B64" s="37" t="s">
        <v>100</v>
      </c>
      <c r="C64" s="38">
        <v>34.07</v>
      </c>
      <c r="E64" s="2"/>
      <c r="G64" s="2">
        <f t="shared" si="46"/>
        <v>0</v>
      </c>
      <c r="I64" s="2">
        <f t="shared" si="47"/>
        <v>0</v>
      </c>
      <c r="K64" s="2">
        <f t="shared" si="48"/>
        <v>0</v>
      </c>
      <c r="M64" s="2">
        <f t="shared" si="5"/>
        <v>0</v>
      </c>
      <c r="Q64" s="2">
        <f t="shared" si="7"/>
        <v>0</v>
      </c>
      <c r="R64" s="3"/>
      <c r="S64" s="2">
        <f t="shared" si="8"/>
        <v>0</v>
      </c>
      <c r="U64" s="2">
        <f t="shared" si="9"/>
        <v>0</v>
      </c>
      <c r="V64" s="35">
        <v>3.0</v>
      </c>
      <c r="W64" s="2">
        <f t="shared" si="49"/>
        <v>102.21</v>
      </c>
      <c r="X64" s="35">
        <v>3.0</v>
      </c>
      <c r="Y64" s="2">
        <f t="shared" si="50"/>
        <v>102.21</v>
      </c>
      <c r="AB64" s="35">
        <v>3.0</v>
      </c>
      <c r="AC64" s="2">
        <f t="shared" si="51"/>
        <v>102.21</v>
      </c>
      <c r="AD64" s="35">
        <v>3.0</v>
      </c>
      <c r="AE64" s="2">
        <f t="shared" si="52"/>
        <v>102.21</v>
      </c>
      <c r="AG64" s="2">
        <f t="shared" si="53"/>
        <v>0</v>
      </c>
      <c r="AK64" s="2"/>
      <c r="AL64" s="35">
        <v>3.0</v>
      </c>
      <c r="AM64" s="2">
        <f t="shared" si="55"/>
        <v>102.21</v>
      </c>
      <c r="AU64" s="2">
        <f t="shared" si="56"/>
        <v>0</v>
      </c>
      <c r="AX64" s="35">
        <v>1.0</v>
      </c>
      <c r="AY64" s="2">
        <f t="shared" si="57"/>
        <v>34.07</v>
      </c>
      <c r="AZ64" s="35">
        <v>1.0</v>
      </c>
      <c r="BA64" s="4">
        <f t="shared" si="58"/>
        <v>34.07</v>
      </c>
    </row>
    <row r="65">
      <c r="A65" s="37"/>
      <c r="B65" s="37" t="s">
        <v>101</v>
      </c>
      <c r="C65" s="38">
        <v>2.09</v>
      </c>
      <c r="E65" s="2"/>
      <c r="F65" s="35">
        <v>2.0</v>
      </c>
      <c r="G65" s="2">
        <f t="shared" si="46"/>
        <v>4.18</v>
      </c>
      <c r="I65" s="2">
        <f t="shared" si="47"/>
        <v>0</v>
      </c>
      <c r="K65" s="2">
        <f t="shared" si="48"/>
        <v>0</v>
      </c>
      <c r="M65" s="2">
        <f t="shared" si="5"/>
        <v>0</v>
      </c>
      <c r="Q65" s="2">
        <f t="shared" si="7"/>
        <v>0</v>
      </c>
      <c r="R65" s="3"/>
      <c r="S65" s="2">
        <f t="shared" si="8"/>
        <v>0</v>
      </c>
      <c r="U65" s="2">
        <f t="shared" si="9"/>
        <v>0</v>
      </c>
      <c r="V65" s="35">
        <v>3.0</v>
      </c>
      <c r="W65" s="2">
        <f t="shared" si="49"/>
        <v>6.27</v>
      </c>
      <c r="X65" s="35">
        <v>3.0</v>
      </c>
      <c r="Y65" s="2">
        <f t="shared" si="50"/>
        <v>6.27</v>
      </c>
      <c r="AB65" s="35">
        <v>3.0</v>
      </c>
      <c r="AC65" s="2">
        <f t="shared" si="51"/>
        <v>6.27</v>
      </c>
      <c r="AD65" s="35">
        <v>3.0</v>
      </c>
      <c r="AE65" s="2">
        <f t="shared" si="52"/>
        <v>6.27</v>
      </c>
      <c r="AG65" s="2">
        <f t="shared" si="53"/>
        <v>0</v>
      </c>
      <c r="AK65" s="2"/>
      <c r="AL65" s="35">
        <v>3.0</v>
      </c>
      <c r="AM65" s="2">
        <f t="shared" si="55"/>
        <v>6.27</v>
      </c>
      <c r="AU65" s="2">
        <f t="shared" si="56"/>
        <v>0</v>
      </c>
      <c r="AX65" s="35">
        <v>1.0</v>
      </c>
      <c r="AY65" s="2">
        <f t="shared" si="57"/>
        <v>2.09</v>
      </c>
      <c r="AZ65" s="35">
        <v>1.0</v>
      </c>
      <c r="BA65" s="4">
        <f t="shared" si="58"/>
        <v>2.09</v>
      </c>
    </row>
    <row r="66">
      <c r="A66" s="37"/>
      <c r="B66" s="37" t="s">
        <v>102</v>
      </c>
      <c r="C66" s="38">
        <v>32.68</v>
      </c>
      <c r="E66" s="2"/>
      <c r="G66" s="2">
        <f t="shared" si="46"/>
        <v>0</v>
      </c>
      <c r="I66" s="2">
        <f t="shared" si="47"/>
        <v>0</v>
      </c>
      <c r="K66" s="2">
        <f t="shared" si="48"/>
        <v>0</v>
      </c>
      <c r="M66" s="2">
        <f t="shared" si="5"/>
        <v>0</v>
      </c>
      <c r="Q66" s="2">
        <f t="shared" si="7"/>
        <v>0</v>
      </c>
      <c r="R66" s="3"/>
      <c r="S66" s="2">
        <f t="shared" si="8"/>
        <v>0</v>
      </c>
      <c r="U66" s="2">
        <f t="shared" si="9"/>
        <v>0</v>
      </c>
      <c r="V66" s="35">
        <v>2.0</v>
      </c>
      <c r="W66" s="2">
        <f t="shared" si="49"/>
        <v>65.36</v>
      </c>
      <c r="X66" s="35">
        <v>2.0</v>
      </c>
      <c r="Y66" s="2">
        <f t="shared" si="50"/>
        <v>65.36</v>
      </c>
      <c r="AB66" s="35">
        <v>2.0</v>
      </c>
      <c r="AC66" s="2">
        <f t="shared" si="51"/>
        <v>65.36</v>
      </c>
      <c r="AD66" s="35">
        <v>2.0</v>
      </c>
      <c r="AE66" s="2">
        <f t="shared" si="52"/>
        <v>65.36</v>
      </c>
      <c r="AG66" s="2">
        <f t="shared" si="53"/>
        <v>0</v>
      </c>
      <c r="AK66" s="2"/>
      <c r="AL66" s="35">
        <v>2.0</v>
      </c>
      <c r="AM66" s="2">
        <f t="shared" si="55"/>
        <v>65.36</v>
      </c>
      <c r="AT66" s="35">
        <v>2.0</v>
      </c>
      <c r="AU66" s="2">
        <f t="shared" si="56"/>
        <v>65.36</v>
      </c>
      <c r="AX66" s="35">
        <v>1.0</v>
      </c>
      <c r="AY66" s="2">
        <f t="shared" si="57"/>
        <v>32.68</v>
      </c>
      <c r="AZ66" s="35">
        <v>1.0</v>
      </c>
      <c r="BA66" s="4">
        <f t="shared" si="58"/>
        <v>32.68</v>
      </c>
    </row>
    <row r="67">
      <c r="A67" s="37"/>
      <c r="B67" s="37" t="s">
        <v>103</v>
      </c>
      <c r="C67" s="38">
        <v>469.7</v>
      </c>
      <c r="E67" s="2"/>
      <c r="F67" s="35">
        <v>2.0</v>
      </c>
      <c r="G67" s="2">
        <f t="shared" si="46"/>
        <v>939.4</v>
      </c>
      <c r="H67" s="35">
        <v>1.0</v>
      </c>
      <c r="I67" s="2">
        <f t="shared" si="47"/>
        <v>469.7</v>
      </c>
      <c r="J67" s="35">
        <v>1.0</v>
      </c>
      <c r="K67" s="2">
        <f t="shared" si="48"/>
        <v>469.7</v>
      </c>
      <c r="M67" s="2">
        <f t="shared" si="5"/>
        <v>0</v>
      </c>
      <c r="P67" s="35">
        <v>3.0</v>
      </c>
      <c r="Q67" s="2">
        <f t="shared" si="7"/>
        <v>1409.1</v>
      </c>
      <c r="R67" s="36">
        <v>3.0</v>
      </c>
      <c r="S67" s="2">
        <f t="shared" si="8"/>
        <v>1409.1</v>
      </c>
      <c r="T67" s="35">
        <v>3.0</v>
      </c>
      <c r="U67" s="2">
        <f t="shared" si="9"/>
        <v>1409.1</v>
      </c>
      <c r="V67" s="35">
        <v>8.0</v>
      </c>
      <c r="W67" s="2">
        <f t="shared" si="49"/>
        <v>3757.6</v>
      </c>
      <c r="X67" s="35">
        <v>6.0</v>
      </c>
      <c r="Y67" s="2">
        <f t="shared" si="50"/>
        <v>2818.2</v>
      </c>
      <c r="AB67" s="35">
        <v>1.0</v>
      </c>
      <c r="AC67" s="2">
        <f t="shared" si="51"/>
        <v>469.7</v>
      </c>
      <c r="AD67" s="35">
        <v>5.0</v>
      </c>
      <c r="AE67" s="2">
        <f t="shared" si="52"/>
        <v>2348.5</v>
      </c>
      <c r="AG67" s="2">
        <f t="shared" si="53"/>
        <v>0</v>
      </c>
      <c r="AJ67" s="35">
        <v>2.0</v>
      </c>
      <c r="AK67" s="2">
        <f t="shared" ref="AK67:AK68" si="62">$C67*AJ67</f>
        <v>939.4</v>
      </c>
      <c r="AL67" s="35">
        <v>15.0</v>
      </c>
      <c r="AM67" s="2">
        <f t="shared" si="55"/>
        <v>7045.5</v>
      </c>
      <c r="AN67" s="35">
        <v>10.0</v>
      </c>
      <c r="AO67" s="35">
        <v>4697.0</v>
      </c>
      <c r="AP67" s="35">
        <v>4.0</v>
      </c>
      <c r="AQ67" s="35">
        <v>1878.8</v>
      </c>
      <c r="AR67" s="35">
        <v>6.0</v>
      </c>
      <c r="AS67" s="35">
        <v>2818.2</v>
      </c>
      <c r="AT67" s="35">
        <v>11.0</v>
      </c>
      <c r="AU67" s="2">
        <f t="shared" si="56"/>
        <v>5166.7</v>
      </c>
      <c r="AV67" s="35">
        <v>4.0</v>
      </c>
      <c r="AW67" s="38">
        <f>C67*AV67</f>
        <v>1878.8</v>
      </c>
      <c r="AX67" s="35">
        <v>11.0</v>
      </c>
      <c r="AY67" s="2">
        <f t="shared" si="57"/>
        <v>5166.7</v>
      </c>
      <c r="AZ67" s="35">
        <v>4.0</v>
      </c>
      <c r="BA67" s="4">
        <f t="shared" si="58"/>
        <v>1878.8</v>
      </c>
    </row>
    <row r="68">
      <c r="A68" s="37"/>
      <c r="B68" s="37" t="s">
        <v>104</v>
      </c>
      <c r="C68" s="38">
        <v>627.35</v>
      </c>
      <c r="E68" s="2"/>
      <c r="F68" s="35">
        <v>12.0</v>
      </c>
      <c r="G68" s="2">
        <f t="shared" si="46"/>
        <v>7528.2</v>
      </c>
      <c r="H68" s="35">
        <v>20.0</v>
      </c>
      <c r="I68" s="2">
        <f t="shared" si="47"/>
        <v>12547</v>
      </c>
      <c r="J68" s="35">
        <v>70.0</v>
      </c>
      <c r="K68" s="2">
        <f t="shared" si="48"/>
        <v>43914.5</v>
      </c>
      <c r="M68" s="2">
        <f t="shared" si="5"/>
        <v>0</v>
      </c>
      <c r="Q68" s="2">
        <f t="shared" si="7"/>
        <v>0</v>
      </c>
      <c r="R68" s="3"/>
      <c r="S68" s="2">
        <f t="shared" si="8"/>
        <v>0</v>
      </c>
      <c r="U68" s="2">
        <f t="shared" si="9"/>
        <v>0</v>
      </c>
      <c r="V68" s="35">
        <v>12.0</v>
      </c>
      <c r="W68" s="2">
        <f t="shared" si="49"/>
        <v>7528.2</v>
      </c>
      <c r="X68" s="35">
        <v>10.0</v>
      </c>
      <c r="Y68" s="2">
        <f t="shared" si="50"/>
        <v>6273.5</v>
      </c>
      <c r="AC68" s="2">
        <f t="shared" si="51"/>
        <v>0</v>
      </c>
      <c r="AD68" s="35">
        <v>6.0</v>
      </c>
      <c r="AE68" s="2">
        <f t="shared" si="52"/>
        <v>3764.1</v>
      </c>
      <c r="AF68" s="35">
        <v>20.0</v>
      </c>
      <c r="AG68" s="2">
        <f t="shared" si="53"/>
        <v>12547</v>
      </c>
      <c r="AJ68" s="35">
        <v>5.0</v>
      </c>
      <c r="AK68" s="2">
        <f t="shared" si="62"/>
        <v>3136.75</v>
      </c>
      <c r="AL68" s="35">
        <v>50.0</v>
      </c>
      <c r="AM68" s="2">
        <f t="shared" si="55"/>
        <v>31367.5</v>
      </c>
      <c r="AT68" s="35">
        <v>44.0</v>
      </c>
      <c r="AU68" s="2">
        <f t="shared" si="56"/>
        <v>27603.4</v>
      </c>
      <c r="AX68" s="35">
        <v>29.0</v>
      </c>
      <c r="AY68" s="2">
        <f t="shared" si="57"/>
        <v>18193.15</v>
      </c>
      <c r="AZ68" s="35">
        <v>12.0</v>
      </c>
      <c r="BA68" s="4">
        <f t="shared" si="58"/>
        <v>7528.2</v>
      </c>
    </row>
    <row r="69">
      <c r="A69" s="37"/>
      <c r="B69" s="37" t="s">
        <v>105</v>
      </c>
      <c r="C69" s="38">
        <v>1299.3</v>
      </c>
      <c r="E69" s="2"/>
      <c r="G69" s="2">
        <f t="shared" si="46"/>
        <v>0</v>
      </c>
      <c r="I69" s="2">
        <f t="shared" si="47"/>
        <v>0</v>
      </c>
      <c r="K69" s="2">
        <f t="shared" si="48"/>
        <v>0</v>
      </c>
      <c r="M69" s="2">
        <f t="shared" si="5"/>
        <v>0</v>
      </c>
      <c r="Q69" s="2">
        <f t="shared" si="7"/>
        <v>0</v>
      </c>
      <c r="R69" s="3"/>
      <c r="S69" s="2">
        <f t="shared" si="8"/>
        <v>0</v>
      </c>
      <c r="U69" s="2">
        <f t="shared" si="9"/>
        <v>0</v>
      </c>
      <c r="V69" s="35">
        <v>1.0</v>
      </c>
      <c r="W69" s="2">
        <f t="shared" si="49"/>
        <v>1299.3</v>
      </c>
      <c r="X69" s="35">
        <v>1.0</v>
      </c>
      <c r="Y69" s="2">
        <f t="shared" si="50"/>
        <v>1299.3</v>
      </c>
      <c r="AB69" s="35">
        <v>2.0</v>
      </c>
      <c r="AC69" s="2">
        <f t="shared" si="51"/>
        <v>2598.6</v>
      </c>
      <c r="AD69" s="35">
        <v>1.0</v>
      </c>
      <c r="AE69" s="2">
        <f t="shared" si="52"/>
        <v>1299.3</v>
      </c>
      <c r="AG69" s="2">
        <f t="shared" si="53"/>
        <v>0</v>
      </c>
      <c r="AK69" s="2"/>
      <c r="AL69" s="35">
        <v>2.0</v>
      </c>
      <c r="AM69" s="2">
        <f t="shared" si="55"/>
        <v>2598.6</v>
      </c>
      <c r="AU69" s="2">
        <f t="shared" si="56"/>
        <v>0</v>
      </c>
      <c r="AV69" s="35">
        <v>1.0</v>
      </c>
      <c r="AW69" s="38">
        <f t="shared" ref="AW69:AW70" si="63">C69*AV69</f>
        <v>1299.3</v>
      </c>
      <c r="AX69" s="35">
        <v>0.0</v>
      </c>
      <c r="AY69" s="2">
        <f t="shared" si="57"/>
        <v>0</v>
      </c>
      <c r="AZ69" s="35">
        <v>0.0</v>
      </c>
      <c r="BA69" s="4">
        <f t="shared" si="58"/>
        <v>0</v>
      </c>
    </row>
    <row r="70">
      <c r="A70" s="37"/>
      <c r="B70" s="37" t="s">
        <v>106</v>
      </c>
      <c r="C70" s="38">
        <v>1021.75</v>
      </c>
      <c r="E70" s="2"/>
      <c r="F70" s="35">
        <v>2.0</v>
      </c>
      <c r="G70" s="2">
        <f t="shared" si="46"/>
        <v>2043.5</v>
      </c>
      <c r="I70" s="2">
        <f t="shared" si="47"/>
        <v>0</v>
      </c>
      <c r="K70" s="2">
        <f t="shared" si="48"/>
        <v>0</v>
      </c>
      <c r="M70" s="2">
        <f t="shared" si="5"/>
        <v>0</v>
      </c>
      <c r="Q70" s="2">
        <f t="shared" si="7"/>
        <v>0</v>
      </c>
      <c r="R70" s="3"/>
      <c r="S70" s="2">
        <f t="shared" si="8"/>
        <v>0</v>
      </c>
      <c r="U70" s="2">
        <f t="shared" si="9"/>
        <v>0</v>
      </c>
      <c r="V70" s="35">
        <v>1.0</v>
      </c>
      <c r="W70" s="2">
        <f t="shared" si="49"/>
        <v>1021.75</v>
      </c>
      <c r="X70" s="35">
        <v>1.0</v>
      </c>
      <c r="Y70" s="2">
        <f t="shared" si="50"/>
        <v>1021.75</v>
      </c>
      <c r="AB70" s="35">
        <v>1.0</v>
      </c>
      <c r="AC70" s="2">
        <f t="shared" si="51"/>
        <v>1021.75</v>
      </c>
      <c r="AD70" s="35">
        <v>1.0</v>
      </c>
      <c r="AE70" s="2">
        <f t="shared" si="52"/>
        <v>1021.75</v>
      </c>
      <c r="AG70" s="2">
        <f t="shared" si="53"/>
        <v>0</v>
      </c>
      <c r="AK70" s="2"/>
      <c r="AL70" s="35">
        <v>1.0</v>
      </c>
      <c r="AM70" s="2">
        <f t="shared" si="55"/>
        <v>1021.75</v>
      </c>
      <c r="AU70" s="2">
        <f t="shared" si="56"/>
        <v>0</v>
      </c>
      <c r="AV70" s="35">
        <v>1.0</v>
      </c>
      <c r="AW70" s="38">
        <f t="shared" si="63"/>
        <v>1021.75</v>
      </c>
      <c r="AX70" s="35">
        <v>0.0</v>
      </c>
      <c r="AY70" s="2">
        <f t="shared" si="57"/>
        <v>0</v>
      </c>
      <c r="AZ70" s="35">
        <v>0.0</v>
      </c>
      <c r="BA70" s="4">
        <f t="shared" si="58"/>
        <v>0</v>
      </c>
    </row>
    <row r="71">
      <c r="A71" s="37"/>
      <c r="B71" s="37" t="s">
        <v>107</v>
      </c>
      <c r="C71" s="38">
        <v>310.03</v>
      </c>
      <c r="E71" s="2"/>
      <c r="F71" s="35">
        <v>9.0</v>
      </c>
      <c r="G71" s="2">
        <f t="shared" si="46"/>
        <v>2790.27</v>
      </c>
      <c r="I71" s="2">
        <f t="shared" si="47"/>
        <v>0</v>
      </c>
      <c r="K71" s="2">
        <f t="shared" si="48"/>
        <v>0</v>
      </c>
      <c r="M71" s="2">
        <f t="shared" si="5"/>
        <v>0</v>
      </c>
      <c r="Q71" s="2">
        <f t="shared" si="7"/>
        <v>0</v>
      </c>
      <c r="R71" s="3"/>
      <c r="S71" s="2">
        <f t="shared" si="8"/>
        <v>0</v>
      </c>
      <c r="U71" s="2">
        <f t="shared" si="9"/>
        <v>0</v>
      </c>
      <c r="V71" s="35">
        <v>20.0</v>
      </c>
      <c r="W71" s="2">
        <f t="shared" si="49"/>
        <v>6200.6</v>
      </c>
      <c r="X71" s="35">
        <v>1.0</v>
      </c>
      <c r="Y71" s="2">
        <f t="shared" si="50"/>
        <v>310.03</v>
      </c>
      <c r="AB71" s="35">
        <v>4.0</v>
      </c>
      <c r="AC71" s="2">
        <f t="shared" si="51"/>
        <v>1240.12</v>
      </c>
      <c r="AD71" s="35">
        <v>1.0</v>
      </c>
      <c r="AE71" s="2">
        <f t="shared" si="52"/>
        <v>310.03</v>
      </c>
      <c r="AG71" s="2">
        <f t="shared" si="53"/>
        <v>0</v>
      </c>
      <c r="AK71" s="2"/>
      <c r="AL71" s="35"/>
      <c r="AM71" s="2">
        <f t="shared" si="55"/>
        <v>0</v>
      </c>
      <c r="AU71" s="2">
        <f t="shared" si="56"/>
        <v>0</v>
      </c>
      <c r="AX71" s="35">
        <v>0.0</v>
      </c>
      <c r="AY71" s="2">
        <f t="shared" si="57"/>
        <v>0</v>
      </c>
      <c r="AZ71" s="35">
        <v>0.0</v>
      </c>
      <c r="BA71" s="4">
        <f t="shared" si="58"/>
        <v>0</v>
      </c>
    </row>
    <row r="72">
      <c r="A72" s="37"/>
      <c r="B72" s="37" t="s">
        <v>108</v>
      </c>
      <c r="C72" s="38">
        <v>424.63</v>
      </c>
      <c r="E72" s="2"/>
      <c r="G72" s="2">
        <f t="shared" si="46"/>
        <v>0</v>
      </c>
      <c r="I72" s="2">
        <f t="shared" si="47"/>
        <v>0</v>
      </c>
      <c r="K72" s="2">
        <f t="shared" si="48"/>
        <v>0</v>
      </c>
      <c r="M72" s="2">
        <f t="shared" si="5"/>
        <v>0</v>
      </c>
      <c r="Q72" s="2">
        <f t="shared" si="7"/>
        <v>0</v>
      </c>
      <c r="R72" s="3"/>
      <c r="S72" s="2">
        <f t="shared" si="8"/>
        <v>0</v>
      </c>
      <c r="U72" s="2">
        <f t="shared" si="9"/>
        <v>0</v>
      </c>
      <c r="V72" s="35">
        <v>5.0</v>
      </c>
      <c r="W72" s="2">
        <f t="shared" si="49"/>
        <v>2123.15</v>
      </c>
      <c r="X72" s="35">
        <v>1.0</v>
      </c>
      <c r="Y72" s="2">
        <f t="shared" si="50"/>
        <v>424.63</v>
      </c>
      <c r="AB72" s="35">
        <v>4.0</v>
      </c>
      <c r="AC72" s="2">
        <f t="shared" si="51"/>
        <v>1698.52</v>
      </c>
      <c r="AD72" s="35">
        <v>1.0</v>
      </c>
      <c r="AE72" s="2">
        <f t="shared" si="52"/>
        <v>424.63</v>
      </c>
      <c r="AF72" s="35">
        <v>20.0</v>
      </c>
      <c r="AG72" s="2">
        <f t="shared" si="53"/>
        <v>8492.6</v>
      </c>
      <c r="AK72" s="2"/>
      <c r="AL72" s="35"/>
      <c r="AM72" s="2">
        <f t="shared" si="55"/>
        <v>0</v>
      </c>
      <c r="AU72" s="2">
        <f t="shared" si="56"/>
        <v>0</v>
      </c>
      <c r="AX72" s="35">
        <v>38.0</v>
      </c>
      <c r="AY72" s="2">
        <f t="shared" si="57"/>
        <v>16135.94</v>
      </c>
      <c r="AZ72" s="35">
        <v>13.0</v>
      </c>
      <c r="BA72" s="4">
        <f t="shared" si="58"/>
        <v>5520.19</v>
      </c>
    </row>
    <row r="73">
      <c r="A73" s="37"/>
      <c r="B73" s="37" t="s">
        <v>109</v>
      </c>
      <c r="C73" s="38">
        <v>384.3</v>
      </c>
      <c r="E73" s="2"/>
      <c r="F73" s="35">
        <v>1.0</v>
      </c>
      <c r="G73" s="2">
        <f t="shared" si="46"/>
        <v>384.3</v>
      </c>
      <c r="H73" s="35">
        <v>2.0</v>
      </c>
      <c r="I73" s="2">
        <f t="shared" si="47"/>
        <v>768.6</v>
      </c>
      <c r="J73" s="35">
        <v>12.0</v>
      </c>
      <c r="K73" s="2">
        <f t="shared" si="48"/>
        <v>4611.6</v>
      </c>
      <c r="M73" s="2">
        <f t="shared" si="5"/>
        <v>0</v>
      </c>
      <c r="Q73" s="2">
        <f t="shared" si="7"/>
        <v>0</v>
      </c>
      <c r="R73" s="3"/>
      <c r="S73" s="2">
        <f t="shared" si="8"/>
        <v>0</v>
      </c>
      <c r="U73" s="2">
        <f t="shared" si="9"/>
        <v>0</v>
      </c>
      <c r="V73" s="35">
        <v>5.0</v>
      </c>
      <c r="W73" s="2">
        <f t="shared" si="49"/>
        <v>1921.5</v>
      </c>
      <c r="X73" s="35">
        <v>1.0</v>
      </c>
      <c r="Y73" s="2">
        <f t="shared" si="50"/>
        <v>384.3</v>
      </c>
      <c r="AB73" s="35">
        <v>1.0</v>
      </c>
      <c r="AC73" s="2">
        <f t="shared" si="51"/>
        <v>384.3</v>
      </c>
      <c r="AD73" s="35">
        <v>2.0</v>
      </c>
      <c r="AE73" s="2">
        <f t="shared" si="52"/>
        <v>768.6</v>
      </c>
      <c r="AG73" s="2">
        <f t="shared" si="53"/>
        <v>0</v>
      </c>
      <c r="AJ73" s="35">
        <v>1.0</v>
      </c>
      <c r="AK73" s="2">
        <f t="shared" ref="AK73:AK79" si="64">$C73*AJ73</f>
        <v>384.3</v>
      </c>
      <c r="AL73" s="35"/>
      <c r="AM73" s="2">
        <f t="shared" si="55"/>
        <v>0</v>
      </c>
      <c r="AU73" s="2">
        <f t="shared" si="56"/>
        <v>0</v>
      </c>
      <c r="AX73" s="35">
        <v>2.0</v>
      </c>
      <c r="AY73" s="2">
        <f t="shared" si="57"/>
        <v>768.6</v>
      </c>
      <c r="AZ73" s="35">
        <v>0.0</v>
      </c>
      <c r="BA73" s="4">
        <f t="shared" si="58"/>
        <v>0</v>
      </c>
    </row>
    <row r="74">
      <c r="A74" s="37"/>
      <c r="B74" s="37" t="s">
        <v>110</v>
      </c>
      <c r="C74" s="38">
        <v>202.52</v>
      </c>
      <c r="E74" s="2"/>
      <c r="F74" s="35">
        <v>1.0</v>
      </c>
      <c r="G74" s="2">
        <f t="shared" si="46"/>
        <v>202.52</v>
      </c>
      <c r="H74" s="35">
        <v>2.0</v>
      </c>
      <c r="I74" s="2">
        <f t="shared" si="47"/>
        <v>405.04</v>
      </c>
      <c r="J74" s="35">
        <v>12.0</v>
      </c>
      <c r="K74" s="2">
        <f t="shared" si="48"/>
        <v>2430.24</v>
      </c>
      <c r="M74" s="2">
        <f t="shared" si="5"/>
        <v>0</v>
      </c>
      <c r="Q74" s="2">
        <f t="shared" si="7"/>
        <v>0</v>
      </c>
      <c r="R74" s="3"/>
      <c r="S74" s="2">
        <f t="shared" si="8"/>
        <v>0</v>
      </c>
      <c r="U74" s="2">
        <f t="shared" si="9"/>
        <v>0</v>
      </c>
      <c r="V74" s="35">
        <v>5.0</v>
      </c>
      <c r="W74" s="2">
        <f t="shared" si="49"/>
        <v>1012.6</v>
      </c>
      <c r="X74" s="35">
        <v>1.0</v>
      </c>
      <c r="Y74" s="2">
        <f t="shared" si="50"/>
        <v>202.52</v>
      </c>
      <c r="AB74" s="35">
        <v>1.0</v>
      </c>
      <c r="AC74" s="2">
        <f t="shared" si="51"/>
        <v>202.52</v>
      </c>
      <c r="AD74" s="35">
        <v>2.0</v>
      </c>
      <c r="AE74" s="2">
        <f t="shared" si="52"/>
        <v>405.04</v>
      </c>
      <c r="AG74" s="2">
        <f t="shared" si="53"/>
        <v>0</v>
      </c>
      <c r="AJ74" s="35">
        <v>1.0</v>
      </c>
      <c r="AK74" s="2">
        <f t="shared" si="64"/>
        <v>202.52</v>
      </c>
      <c r="AL74" s="35"/>
      <c r="AM74" s="2">
        <f t="shared" si="55"/>
        <v>0</v>
      </c>
      <c r="AU74" s="2">
        <f t="shared" si="56"/>
        <v>0</v>
      </c>
      <c r="AX74" s="35">
        <v>2.0</v>
      </c>
      <c r="AY74" s="2">
        <f t="shared" si="57"/>
        <v>405.04</v>
      </c>
      <c r="AZ74" s="35">
        <v>0.0</v>
      </c>
      <c r="BA74" s="4">
        <f t="shared" si="58"/>
        <v>0</v>
      </c>
    </row>
    <row r="75">
      <c r="A75" s="37"/>
      <c r="B75" s="37" t="s">
        <v>111</v>
      </c>
      <c r="C75" s="38">
        <v>258.64</v>
      </c>
      <c r="E75" s="2"/>
      <c r="F75" s="35">
        <v>1.0</v>
      </c>
      <c r="G75" s="2">
        <f t="shared" si="46"/>
        <v>258.64</v>
      </c>
      <c r="H75" s="35">
        <v>2.0</v>
      </c>
      <c r="I75" s="2">
        <f t="shared" si="47"/>
        <v>517.28</v>
      </c>
      <c r="J75" s="35">
        <v>12.0</v>
      </c>
      <c r="K75" s="2">
        <f t="shared" si="48"/>
        <v>3103.68</v>
      </c>
      <c r="M75" s="2">
        <f t="shared" si="5"/>
        <v>0</v>
      </c>
      <c r="Q75" s="2">
        <f t="shared" si="7"/>
        <v>0</v>
      </c>
      <c r="R75" s="3"/>
      <c r="S75" s="2">
        <f t="shared" si="8"/>
        <v>0</v>
      </c>
      <c r="U75" s="2">
        <f t="shared" si="9"/>
        <v>0</v>
      </c>
      <c r="V75" s="35">
        <v>5.0</v>
      </c>
      <c r="W75" s="2">
        <f t="shared" si="49"/>
        <v>1293.2</v>
      </c>
      <c r="X75" s="35">
        <v>1.0</v>
      </c>
      <c r="Y75" s="2">
        <f t="shared" si="50"/>
        <v>258.64</v>
      </c>
      <c r="AB75" s="35">
        <v>1.0</v>
      </c>
      <c r="AC75" s="2">
        <f t="shared" si="51"/>
        <v>258.64</v>
      </c>
      <c r="AD75" s="35">
        <v>2.0</v>
      </c>
      <c r="AE75" s="2">
        <f t="shared" si="52"/>
        <v>517.28</v>
      </c>
      <c r="AG75" s="2">
        <f t="shared" si="53"/>
        <v>0</v>
      </c>
      <c r="AJ75" s="35">
        <v>1.0</v>
      </c>
      <c r="AK75" s="2">
        <f t="shared" si="64"/>
        <v>258.64</v>
      </c>
      <c r="AL75" s="35"/>
      <c r="AM75" s="2">
        <f t="shared" si="55"/>
        <v>0</v>
      </c>
      <c r="AU75" s="2">
        <f t="shared" si="56"/>
        <v>0</v>
      </c>
      <c r="AX75" s="35">
        <v>2.0</v>
      </c>
      <c r="AY75" s="2">
        <f t="shared" si="57"/>
        <v>517.28</v>
      </c>
      <c r="AZ75" s="35">
        <v>0.0</v>
      </c>
      <c r="BA75" s="4">
        <f t="shared" si="58"/>
        <v>0</v>
      </c>
    </row>
    <row r="76">
      <c r="A76" s="37"/>
      <c r="B76" s="37" t="s">
        <v>112</v>
      </c>
      <c r="C76" s="38">
        <v>165.62</v>
      </c>
      <c r="E76" s="2"/>
      <c r="G76" s="2">
        <f t="shared" si="46"/>
        <v>0</v>
      </c>
      <c r="I76" s="2">
        <f t="shared" si="47"/>
        <v>0</v>
      </c>
      <c r="K76" s="2">
        <f t="shared" si="48"/>
        <v>0</v>
      </c>
      <c r="M76" s="2">
        <f t="shared" si="5"/>
        <v>0</v>
      </c>
      <c r="Q76" s="2">
        <f t="shared" si="7"/>
        <v>0</v>
      </c>
      <c r="R76" s="3"/>
      <c r="S76" s="2">
        <f t="shared" si="8"/>
        <v>0</v>
      </c>
      <c r="U76" s="2">
        <f t="shared" si="9"/>
        <v>0</v>
      </c>
      <c r="V76" s="35">
        <v>5.0</v>
      </c>
      <c r="W76" s="2">
        <f t="shared" si="49"/>
        <v>828.1</v>
      </c>
      <c r="X76" s="35">
        <v>1.0</v>
      </c>
      <c r="Y76" s="2">
        <f t="shared" si="50"/>
        <v>165.62</v>
      </c>
      <c r="AB76" s="35">
        <v>1.0</v>
      </c>
      <c r="AC76" s="2">
        <f t="shared" si="51"/>
        <v>165.62</v>
      </c>
      <c r="AD76" s="35">
        <v>2.0</v>
      </c>
      <c r="AE76" s="2">
        <f t="shared" si="52"/>
        <v>331.24</v>
      </c>
      <c r="AG76" s="2">
        <f t="shared" si="53"/>
        <v>0</v>
      </c>
      <c r="AJ76" s="35">
        <v>1.0</v>
      </c>
      <c r="AK76" s="2">
        <f t="shared" si="64"/>
        <v>165.62</v>
      </c>
      <c r="AL76" s="35"/>
      <c r="AM76" s="2">
        <f t="shared" si="55"/>
        <v>0</v>
      </c>
      <c r="AU76" s="2">
        <f t="shared" si="56"/>
        <v>0</v>
      </c>
      <c r="AX76" s="35">
        <v>0.0</v>
      </c>
      <c r="AY76" s="2">
        <f t="shared" si="57"/>
        <v>0</v>
      </c>
      <c r="BA76" s="4">
        <f t="shared" si="58"/>
        <v>0</v>
      </c>
    </row>
    <row r="77">
      <c r="A77" s="37"/>
      <c r="B77" s="37" t="s">
        <v>113</v>
      </c>
      <c r="C77" s="38">
        <v>343.15</v>
      </c>
      <c r="E77" s="2"/>
      <c r="G77" s="2">
        <f t="shared" si="46"/>
        <v>0</v>
      </c>
      <c r="I77" s="2">
        <f t="shared" si="47"/>
        <v>0</v>
      </c>
      <c r="K77" s="2">
        <f t="shared" si="48"/>
        <v>0</v>
      </c>
      <c r="M77" s="2">
        <f t="shared" si="5"/>
        <v>0</v>
      </c>
      <c r="Q77" s="2">
        <f t="shared" si="7"/>
        <v>0</v>
      </c>
      <c r="R77" s="3"/>
      <c r="S77" s="2">
        <f t="shared" si="8"/>
        <v>0</v>
      </c>
      <c r="U77" s="2">
        <f t="shared" si="9"/>
        <v>0</v>
      </c>
      <c r="V77" s="35">
        <v>5.0</v>
      </c>
      <c r="W77" s="2">
        <f t="shared" si="49"/>
        <v>1715.75</v>
      </c>
      <c r="X77" s="35">
        <v>1.0</v>
      </c>
      <c r="Y77" s="2">
        <f t="shared" si="50"/>
        <v>343.15</v>
      </c>
      <c r="AB77" s="35">
        <v>1.0</v>
      </c>
      <c r="AC77" s="2">
        <f t="shared" si="51"/>
        <v>343.15</v>
      </c>
      <c r="AD77" s="35">
        <v>2.0</v>
      </c>
      <c r="AE77" s="2">
        <f t="shared" si="52"/>
        <v>686.3</v>
      </c>
      <c r="AG77" s="2">
        <f t="shared" si="53"/>
        <v>0</v>
      </c>
      <c r="AJ77" s="35">
        <v>1.0</v>
      </c>
      <c r="AK77" s="2">
        <f t="shared" si="64"/>
        <v>343.15</v>
      </c>
      <c r="AL77" s="35"/>
      <c r="AM77" s="2">
        <f t="shared" si="55"/>
        <v>0</v>
      </c>
      <c r="AU77" s="2">
        <f t="shared" si="56"/>
        <v>0</v>
      </c>
      <c r="AX77" s="35">
        <v>0.0</v>
      </c>
      <c r="AY77" s="2">
        <f t="shared" si="57"/>
        <v>0</v>
      </c>
      <c r="AZ77" s="35">
        <v>0.0</v>
      </c>
      <c r="BA77" s="4">
        <f t="shared" si="58"/>
        <v>0</v>
      </c>
    </row>
    <row r="78">
      <c r="A78" s="37"/>
      <c r="B78" s="37" t="s">
        <v>114</v>
      </c>
      <c r="C78" s="38">
        <v>273.28</v>
      </c>
      <c r="E78" s="2"/>
      <c r="F78" s="35">
        <v>1.0</v>
      </c>
      <c r="G78" s="2">
        <f t="shared" si="46"/>
        <v>273.28</v>
      </c>
      <c r="H78" s="35">
        <v>2.0</v>
      </c>
      <c r="I78" s="2">
        <f t="shared" si="47"/>
        <v>546.56</v>
      </c>
      <c r="J78" s="35">
        <v>12.0</v>
      </c>
      <c r="K78" s="2">
        <f t="shared" si="48"/>
        <v>3279.36</v>
      </c>
      <c r="M78" s="2">
        <f t="shared" si="5"/>
        <v>0</v>
      </c>
      <c r="Q78" s="2">
        <f t="shared" si="7"/>
        <v>0</v>
      </c>
      <c r="R78" s="3"/>
      <c r="S78" s="2">
        <f t="shared" si="8"/>
        <v>0</v>
      </c>
      <c r="U78" s="2">
        <f t="shared" si="9"/>
        <v>0</v>
      </c>
      <c r="V78" s="35">
        <v>5.0</v>
      </c>
      <c r="W78" s="2">
        <f t="shared" si="49"/>
        <v>1366.4</v>
      </c>
      <c r="X78" s="35">
        <v>1.0</v>
      </c>
      <c r="Y78" s="2">
        <f t="shared" si="50"/>
        <v>273.28</v>
      </c>
      <c r="AB78" s="35">
        <v>1.0</v>
      </c>
      <c r="AC78" s="2">
        <f t="shared" si="51"/>
        <v>273.28</v>
      </c>
      <c r="AD78" s="35">
        <v>2.0</v>
      </c>
      <c r="AE78" s="2">
        <f t="shared" si="52"/>
        <v>546.56</v>
      </c>
      <c r="AG78" s="2">
        <f t="shared" si="53"/>
        <v>0</v>
      </c>
      <c r="AJ78" s="35">
        <v>1.0</v>
      </c>
      <c r="AK78" s="2">
        <f t="shared" si="64"/>
        <v>273.28</v>
      </c>
      <c r="AL78" s="35"/>
      <c r="AM78" s="2">
        <f t="shared" si="55"/>
        <v>0</v>
      </c>
      <c r="AU78" s="2">
        <f t="shared" si="56"/>
        <v>0</v>
      </c>
      <c r="AX78" s="35">
        <v>2.0</v>
      </c>
      <c r="AY78" s="2">
        <f t="shared" si="57"/>
        <v>546.56</v>
      </c>
      <c r="AZ78" s="35">
        <v>0.0</v>
      </c>
      <c r="BA78" s="4">
        <f t="shared" si="58"/>
        <v>0</v>
      </c>
    </row>
    <row r="79">
      <c r="A79" s="41"/>
      <c r="B79" s="41" t="s">
        <v>115</v>
      </c>
      <c r="C79" s="38">
        <v>1766.61</v>
      </c>
      <c r="E79" s="2"/>
      <c r="G79" s="2">
        <f t="shared" si="46"/>
        <v>0</v>
      </c>
      <c r="I79" s="2">
        <f t="shared" si="47"/>
        <v>0</v>
      </c>
      <c r="K79" s="2">
        <f t="shared" si="48"/>
        <v>0</v>
      </c>
      <c r="M79" s="2">
        <f t="shared" si="5"/>
        <v>0</v>
      </c>
      <c r="Q79" s="2">
        <f t="shared" si="7"/>
        <v>0</v>
      </c>
      <c r="R79" s="3"/>
      <c r="S79" s="2">
        <f t="shared" si="8"/>
        <v>0</v>
      </c>
      <c r="U79" s="2">
        <f t="shared" si="9"/>
        <v>0</v>
      </c>
      <c r="W79" s="2">
        <f t="shared" si="49"/>
        <v>0</v>
      </c>
      <c r="X79" s="42"/>
      <c r="Y79" s="43"/>
      <c r="AB79" s="35"/>
      <c r="AC79" s="43"/>
      <c r="AE79" s="2">
        <f t="shared" si="52"/>
        <v>0</v>
      </c>
      <c r="AJ79" s="35">
        <v>2.0</v>
      </c>
      <c r="AK79" s="2">
        <f t="shared" si="64"/>
        <v>3533.22</v>
      </c>
      <c r="AL79" s="35"/>
      <c r="AM79" s="2">
        <f t="shared" si="55"/>
        <v>0</v>
      </c>
      <c r="AU79" s="2">
        <f t="shared" si="56"/>
        <v>0</v>
      </c>
      <c r="AV79" s="35">
        <v>1.0</v>
      </c>
      <c r="AW79" s="38">
        <f>C79*AV79</f>
        <v>1766.61</v>
      </c>
      <c r="AX79" s="35">
        <v>2.0</v>
      </c>
      <c r="AY79" s="2">
        <f t="shared" si="57"/>
        <v>3533.22</v>
      </c>
      <c r="AZ79" s="35">
        <v>1.0</v>
      </c>
      <c r="BA79" s="4">
        <f t="shared" si="58"/>
        <v>1766.61</v>
      </c>
    </row>
    <row r="80">
      <c r="A80" s="37"/>
      <c r="B80" s="37" t="s">
        <v>116</v>
      </c>
      <c r="C80" s="2"/>
      <c r="E80" s="2"/>
      <c r="G80" s="2">
        <f t="shared" si="46"/>
        <v>0</v>
      </c>
      <c r="I80" s="2">
        <f t="shared" si="47"/>
        <v>0</v>
      </c>
      <c r="K80" s="2">
        <f t="shared" si="48"/>
        <v>0</v>
      </c>
      <c r="M80" s="2">
        <f t="shared" si="5"/>
        <v>0</v>
      </c>
      <c r="Q80" s="2">
        <f t="shared" si="7"/>
        <v>0</v>
      </c>
      <c r="R80" s="3"/>
      <c r="S80" s="2">
        <f t="shared" si="8"/>
        <v>0</v>
      </c>
      <c r="U80" s="2">
        <f t="shared" si="9"/>
        <v>0</v>
      </c>
      <c r="W80" s="2">
        <f t="shared" si="49"/>
        <v>0</v>
      </c>
      <c r="X80" s="42"/>
      <c r="Y80" s="43"/>
      <c r="AB80" s="35"/>
      <c r="AC80" s="43"/>
      <c r="AE80" s="2">
        <f t="shared" si="52"/>
        <v>0</v>
      </c>
      <c r="AK80" s="44"/>
      <c r="AL80" s="35"/>
      <c r="AM80" s="2">
        <f t="shared" si="55"/>
        <v>0</v>
      </c>
      <c r="AU80" s="2">
        <f t="shared" si="56"/>
        <v>0</v>
      </c>
      <c r="AY80" s="45"/>
      <c r="BA80" s="46"/>
      <c r="BC80" s="38">
        <v>62217.83</v>
      </c>
      <c r="BD80" s="38"/>
    </row>
    <row r="81">
      <c r="A81" s="37"/>
      <c r="B81" s="37" t="s">
        <v>117</v>
      </c>
      <c r="C81" s="2"/>
      <c r="E81" s="2"/>
      <c r="G81" s="2">
        <f t="shared" si="46"/>
        <v>0</v>
      </c>
      <c r="I81" s="2">
        <f t="shared" si="47"/>
        <v>0</v>
      </c>
      <c r="K81" s="2">
        <f t="shared" si="48"/>
        <v>0</v>
      </c>
      <c r="M81" s="2">
        <f t="shared" si="5"/>
        <v>0</v>
      </c>
      <c r="Q81" s="2">
        <f t="shared" si="7"/>
        <v>0</v>
      </c>
      <c r="R81" s="3"/>
      <c r="S81" s="2">
        <f t="shared" si="8"/>
        <v>0</v>
      </c>
      <c r="U81" s="2">
        <f t="shared" si="9"/>
        <v>0</v>
      </c>
      <c r="W81" s="2">
        <f t="shared" si="49"/>
        <v>0</v>
      </c>
      <c r="X81" s="42"/>
      <c r="Y81" s="43"/>
      <c r="AB81" s="35"/>
      <c r="AC81" s="43"/>
      <c r="AE81" s="2">
        <f t="shared" si="52"/>
        <v>0</v>
      </c>
      <c r="AK81" s="44"/>
      <c r="AL81" s="35"/>
      <c r="AM81" s="2">
        <f t="shared" si="55"/>
        <v>0</v>
      </c>
      <c r="AU81" s="2">
        <f t="shared" si="56"/>
        <v>0</v>
      </c>
      <c r="AY81" s="45"/>
      <c r="BA81" s="46"/>
      <c r="BC81" s="38">
        <v>11979.58</v>
      </c>
      <c r="BD81" s="38"/>
    </row>
    <row r="82">
      <c r="A82" s="37"/>
      <c r="B82" s="37" t="s">
        <v>118</v>
      </c>
      <c r="C82" s="2"/>
      <c r="E82" s="2"/>
      <c r="G82" s="2">
        <f t="shared" si="46"/>
        <v>0</v>
      </c>
      <c r="I82" s="2">
        <f t="shared" si="47"/>
        <v>0</v>
      </c>
      <c r="K82" s="2">
        <f t="shared" si="48"/>
        <v>0</v>
      </c>
      <c r="M82" s="2">
        <f t="shared" si="5"/>
        <v>0</v>
      </c>
      <c r="Q82" s="2">
        <f t="shared" si="7"/>
        <v>0</v>
      </c>
      <c r="R82" s="3"/>
      <c r="S82" s="2">
        <f t="shared" si="8"/>
        <v>0</v>
      </c>
      <c r="U82" s="2">
        <f t="shared" si="9"/>
        <v>0</v>
      </c>
      <c r="W82" s="2">
        <f t="shared" si="49"/>
        <v>0</v>
      </c>
      <c r="X82" s="42"/>
      <c r="Y82" s="43"/>
      <c r="AB82" s="35"/>
      <c r="AC82" s="43"/>
      <c r="AE82" s="2">
        <f t="shared" si="52"/>
        <v>0</v>
      </c>
      <c r="AK82" s="44"/>
      <c r="AL82" s="35"/>
      <c r="AM82" s="2">
        <f t="shared" si="55"/>
        <v>0</v>
      </c>
      <c r="AU82" s="2">
        <f t="shared" si="56"/>
        <v>0</v>
      </c>
      <c r="AY82" s="45"/>
      <c r="BA82" s="46"/>
      <c r="BC82" s="38">
        <v>8257.91</v>
      </c>
      <c r="BD82" s="38"/>
    </row>
    <row r="83">
      <c r="A83" s="37"/>
      <c r="B83" s="37" t="s">
        <v>119</v>
      </c>
      <c r="C83" s="2"/>
      <c r="E83" s="2"/>
      <c r="G83" s="2">
        <f t="shared" si="46"/>
        <v>0</v>
      </c>
      <c r="I83" s="2">
        <f t="shared" si="47"/>
        <v>0</v>
      </c>
      <c r="K83" s="2">
        <f t="shared" si="48"/>
        <v>0</v>
      </c>
      <c r="M83" s="2">
        <f t="shared" si="5"/>
        <v>0</v>
      </c>
      <c r="Q83" s="2">
        <f t="shared" si="7"/>
        <v>0</v>
      </c>
      <c r="R83" s="3"/>
      <c r="S83" s="2">
        <f t="shared" si="8"/>
        <v>0</v>
      </c>
      <c r="U83" s="2">
        <f t="shared" si="9"/>
        <v>0</v>
      </c>
      <c r="W83" s="2">
        <f t="shared" si="49"/>
        <v>0</v>
      </c>
      <c r="X83" s="42"/>
      <c r="Y83" s="43"/>
      <c r="AB83" s="35"/>
      <c r="AC83" s="43"/>
      <c r="AE83" s="2">
        <f t="shared" si="52"/>
        <v>0</v>
      </c>
      <c r="AK83" s="44"/>
      <c r="AL83" s="35"/>
      <c r="AM83" s="2">
        <f t="shared" si="55"/>
        <v>0</v>
      </c>
      <c r="AU83" s="2">
        <f t="shared" si="56"/>
        <v>0</v>
      </c>
      <c r="AY83" s="45"/>
      <c r="BA83" s="46"/>
      <c r="BC83" s="38">
        <v>3584.0</v>
      </c>
      <c r="BD83" s="38"/>
    </row>
    <row r="84">
      <c r="A84" s="37"/>
      <c r="B84" s="37" t="s">
        <v>120</v>
      </c>
      <c r="C84" s="2"/>
      <c r="E84" s="2"/>
      <c r="G84" s="2">
        <f t="shared" si="46"/>
        <v>0</v>
      </c>
      <c r="I84" s="2">
        <f t="shared" si="47"/>
        <v>0</v>
      </c>
      <c r="K84" s="2">
        <f t="shared" si="48"/>
        <v>0</v>
      </c>
      <c r="M84" s="2">
        <f t="shared" si="5"/>
        <v>0</v>
      </c>
      <c r="Q84" s="2">
        <f t="shared" si="7"/>
        <v>0</v>
      </c>
      <c r="R84" s="3"/>
      <c r="S84" s="2">
        <f t="shared" si="8"/>
        <v>0</v>
      </c>
      <c r="U84" s="2">
        <f t="shared" si="9"/>
        <v>0</v>
      </c>
      <c r="W84" s="2">
        <f t="shared" si="49"/>
        <v>0</v>
      </c>
      <c r="X84" s="42"/>
      <c r="Y84" s="43"/>
      <c r="AB84" s="35"/>
      <c r="AC84" s="43"/>
      <c r="AE84" s="2">
        <f t="shared" si="52"/>
        <v>0</v>
      </c>
      <c r="AK84" s="44"/>
      <c r="AL84" s="35"/>
      <c r="AM84" s="2">
        <f t="shared" si="55"/>
        <v>0</v>
      </c>
      <c r="AU84" s="2">
        <f t="shared" si="56"/>
        <v>0</v>
      </c>
      <c r="AY84" s="45"/>
      <c r="BA84" s="46"/>
      <c r="BC84" s="38">
        <v>16464.08</v>
      </c>
      <c r="BD84" s="38"/>
    </row>
    <row r="85">
      <c r="A85" s="37"/>
      <c r="B85" s="37" t="s">
        <v>121</v>
      </c>
      <c r="C85" s="2"/>
      <c r="E85" s="2"/>
      <c r="G85" s="2">
        <f t="shared" si="46"/>
        <v>0</v>
      </c>
      <c r="I85" s="2">
        <f t="shared" si="47"/>
        <v>0</v>
      </c>
      <c r="K85" s="2">
        <f t="shared" si="48"/>
        <v>0</v>
      </c>
      <c r="M85" s="2">
        <f t="shared" si="5"/>
        <v>0</v>
      </c>
      <c r="Q85" s="2">
        <f t="shared" si="7"/>
        <v>0</v>
      </c>
      <c r="R85" s="3"/>
      <c r="S85" s="2">
        <f t="shared" si="8"/>
        <v>0</v>
      </c>
      <c r="U85" s="2">
        <f t="shared" si="9"/>
        <v>0</v>
      </c>
      <c r="W85" s="2">
        <f t="shared" si="49"/>
        <v>0</v>
      </c>
      <c r="X85" s="42"/>
      <c r="Y85" s="43"/>
      <c r="AB85" s="35"/>
      <c r="AC85" s="43"/>
      <c r="AE85" s="2">
        <f t="shared" si="52"/>
        <v>0</v>
      </c>
      <c r="AK85" s="44"/>
      <c r="AL85" s="35"/>
      <c r="AM85" s="2">
        <f t="shared" si="55"/>
        <v>0</v>
      </c>
      <c r="AU85" s="2">
        <f t="shared" si="56"/>
        <v>0</v>
      </c>
      <c r="AY85" s="45"/>
      <c r="BA85" s="46"/>
      <c r="BC85" s="38">
        <v>7514.37</v>
      </c>
      <c r="BD85" s="38"/>
    </row>
    <row r="86">
      <c r="A86" s="37"/>
      <c r="B86" s="37" t="s">
        <v>122</v>
      </c>
      <c r="C86" s="2"/>
      <c r="E86" s="2"/>
      <c r="G86" s="2">
        <f t="shared" si="46"/>
        <v>0</v>
      </c>
      <c r="I86" s="2">
        <f t="shared" si="47"/>
        <v>0</v>
      </c>
      <c r="K86" s="2">
        <f t="shared" si="48"/>
        <v>0</v>
      </c>
      <c r="M86" s="2">
        <f t="shared" si="5"/>
        <v>0</v>
      </c>
      <c r="Q86" s="2">
        <f t="shared" si="7"/>
        <v>0</v>
      </c>
      <c r="R86" s="3"/>
      <c r="S86" s="2">
        <f t="shared" si="8"/>
        <v>0</v>
      </c>
      <c r="U86" s="2">
        <f t="shared" si="9"/>
        <v>0</v>
      </c>
      <c r="W86" s="2">
        <f t="shared" si="49"/>
        <v>0</v>
      </c>
      <c r="X86" s="42"/>
      <c r="Y86" s="43"/>
      <c r="AB86" s="35"/>
      <c r="AC86" s="43"/>
      <c r="AE86" s="2">
        <f t="shared" si="52"/>
        <v>0</v>
      </c>
      <c r="AK86" s="44"/>
      <c r="AL86" s="35"/>
      <c r="AM86" s="2">
        <f t="shared" si="55"/>
        <v>0</v>
      </c>
      <c r="AU86" s="2">
        <f t="shared" si="56"/>
        <v>0</v>
      </c>
      <c r="AY86" s="45"/>
      <c r="BA86" s="46"/>
      <c r="BC86" s="38">
        <v>3593.41</v>
      </c>
      <c r="BD86" s="38"/>
    </row>
    <row r="87">
      <c r="A87" s="37"/>
      <c r="B87" s="37" t="s">
        <v>123</v>
      </c>
      <c r="C87" s="2"/>
      <c r="E87" s="2"/>
      <c r="G87" s="2">
        <f t="shared" si="46"/>
        <v>0</v>
      </c>
      <c r="I87" s="2">
        <f t="shared" si="47"/>
        <v>0</v>
      </c>
      <c r="K87" s="2">
        <f t="shared" si="48"/>
        <v>0</v>
      </c>
      <c r="M87" s="2">
        <f t="shared" si="5"/>
        <v>0</v>
      </c>
      <c r="Q87" s="2">
        <f t="shared" si="7"/>
        <v>0</v>
      </c>
      <c r="R87" s="3"/>
      <c r="S87" s="2">
        <f t="shared" si="8"/>
        <v>0</v>
      </c>
      <c r="U87" s="2">
        <f t="shared" si="9"/>
        <v>0</v>
      </c>
      <c r="W87" s="2">
        <f t="shared" si="49"/>
        <v>0</v>
      </c>
      <c r="X87" s="42"/>
      <c r="Y87" s="43"/>
      <c r="AB87" s="35"/>
      <c r="AC87" s="43"/>
      <c r="AE87" s="2">
        <f t="shared" si="52"/>
        <v>0</v>
      </c>
      <c r="AK87" s="44"/>
      <c r="AL87" s="35"/>
      <c r="AM87" s="2">
        <f t="shared" si="55"/>
        <v>0</v>
      </c>
      <c r="AU87" s="2">
        <f t="shared" si="56"/>
        <v>0</v>
      </c>
      <c r="AY87" s="45"/>
      <c r="BA87" s="46"/>
      <c r="BC87" s="38">
        <v>430.8</v>
      </c>
      <c r="BD87" s="38"/>
    </row>
    <row r="88">
      <c r="A88" s="37"/>
      <c r="B88" s="37" t="s">
        <v>124</v>
      </c>
      <c r="C88" s="2"/>
      <c r="E88" s="2"/>
      <c r="G88" s="2">
        <f t="shared" si="46"/>
        <v>0</v>
      </c>
      <c r="I88" s="2">
        <f t="shared" si="47"/>
        <v>0</v>
      </c>
      <c r="K88" s="2">
        <f t="shared" si="48"/>
        <v>0</v>
      </c>
      <c r="M88" s="2">
        <f t="shared" si="5"/>
        <v>0</v>
      </c>
      <c r="Q88" s="2">
        <f t="shared" si="7"/>
        <v>0</v>
      </c>
      <c r="R88" s="3"/>
      <c r="S88" s="2">
        <f t="shared" si="8"/>
        <v>0</v>
      </c>
      <c r="U88" s="2">
        <f t="shared" si="9"/>
        <v>0</v>
      </c>
      <c r="W88" s="2">
        <f t="shared" si="49"/>
        <v>0</v>
      </c>
      <c r="X88" s="42"/>
      <c r="Y88" s="43"/>
      <c r="AB88" s="35"/>
      <c r="AC88" s="43"/>
      <c r="AE88" s="2">
        <f t="shared" si="52"/>
        <v>0</v>
      </c>
      <c r="AK88" s="44"/>
      <c r="AL88" s="35"/>
      <c r="AM88" s="2">
        <f t="shared" si="55"/>
        <v>0</v>
      </c>
      <c r="AU88" s="2">
        <f t="shared" si="56"/>
        <v>0</v>
      </c>
      <c r="AY88" s="45"/>
      <c r="BA88" s="46"/>
      <c r="BC88" s="38">
        <v>1652.0</v>
      </c>
      <c r="BD88" s="38"/>
    </row>
    <row r="89">
      <c r="A89" s="37"/>
      <c r="B89" s="37" t="s">
        <v>125</v>
      </c>
      <c r="C89" s="2"/>
      <c r="E89" s="2"/>
      <c r="G89" s="2">
        <f t="shared" si="46"/>
        <v>0</v>
      </c>
      <c r="I89" s="2">
        <f t="shared" si="47"/>
        <v>0</v>
      </c>
      <c r="K89" s="2">
        <f t="shared" si="48"/>
        <v>0</v>
      </c>
      <c r="M89" s="2">
        <f t="shared" si="5"/>
        <v>0</v>
      </c>
      <c r="Q89" s="2">
        <f t="shared" si="7"/>
        <v>0</v>
      </c>
      <c r="R89" s="3"/>
      <c r="S89" s="2">
        <f t="shared" si="8"/>
        <v>0</v>
      </c>
      <c r="U89" s="2">
        <f t="shared" si="9"/>
        <v>0</v>
      </c>
      <c r="W89" s="2">
        <f t="shared" si="49"/>
        <v>0</v>
      </c>
      <c r="X89" s="42"/>
      <c r="Y89" s="43"/>
      <c r="AB89" s="35"/>
      <c r="AC89" s="43"/>
      <c r="AE89" s="2">
        <f t="shared" si="52"/>
        <v>0</v>
      </c>
      <c r="AK89" s="44"/>
      <c r="AL89" s="35"/>
      <c r="AM89" s="2">
        <f t="shared" si="55"/>
        <v>0</v>
      </c>
      <c r="AU89" s="2">
        <f t="shared" si="56"/>
        <v>0</v>
      </c>
      <c r="AY89" s="45"/>
      <c r="BA89" s="46"/>
      <c r="BC89" s="38">
        <v>8500.0</v>
      </c>
      <c r="BD89" s="38"/>
    </row>
    <row r="90">
      <c r="A90" s="37"/>
      <c r="B90" s="37" t="s">
        <v>126</v>
      </c>
      <c r="C90" s="38">
        <v>1484.0</v>
      </c>
      <c r="D90" s="47"/>
      <c r="E90" s="44"/>
      <c r="F90" s="47"/>
      <c r="G90" s="2">
        <f t="shared" si="46"/>
        <v>0</v>
      </c>
      <c r="H90" s="47"/>
      <c r="I90" s="2">
        <f t="shared" si="47"/>
        <v>0</v>
      </c>
      <c r="J90" s="35">
        <v>4.0</v>
      </c>
      <c r="K90" s="2">
        <f t="shared" si="48"/>
        <v>5936</v>
      </c>
      <c r="L90" s="47"/>
      <c r="M90" s="2">
        <f t="shared" si="5"/>
        <v>0</v>
      </c>
      <c r="N90" s="47"/>
      <c r="O90" s="47"/>
      <c r="P90" s="48"/>
      <c r="Q90" s="2">
        <f t="shared" si="7"/>
        <v>0</v>
      </c>
      <c r="R90" s="36">
        <v>2.0</v>
      </c>
      <c r="S90" s="2"/>
      <c r="T90" s="48"/>
      <c r="U90" s="2">
        <f t="shared" si="9"/>
        <v>0</v>
      </c>
      <c r="V90" s="47"/>
      <c r="W90" s="2">
        <f t="shared" si="49"/>
        <v>0</v>
      </c>
      <c r="X90" s="49"/>
      <c r="Y90" s="47"/>
      <c r="Z90" s="47"/>
      <c r="AA90" s="47"/>
      <c r="AB90" s="49"/>
      <c r="AC90" s="47"/>
      <c r="AD90" s="47"/>
      <c r="AE90" s="2">
        <f t="shared" si="52"/>
        <v>0</v>
      </c>
      <c r="AF90" s="47"/>
      <c r="AG90" s="47"/>
      <c r="AH90" s="47"/>
      <c r="AI90" s="47"/>
      <c r="AJ90" s="35">
        <v>2.0</v>
      </c>
      <c r="AK90" s="2">
        <f t="shared" ref="AK90:AK91" si="65">$C90*AJ90</f>
        <v>2968</v>
      </c>
      <c r="AL90" s="35"/>
      <c r="AM90" s="2">
        <f t="shared" si="55"/>
        <v>0</v>
      </c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</row>
    <row r="91">
      <c r="A91" s="37"/>
      <c r="B91" s="37" t="s">
        <v>127</v>
      </c>
      <c r="C91" s="50">
        <f>102.58*1.22</f>
        <v>125.1476</v>
      </c>
      <c r="D91" s="47"/>
      <c r="E91" s="44"/>
      <c r="F91" s="35">
        <v>2.0</v>
      </c>
      <c r="G91" s="2">
        <f t="shared" si="46"/>
        <v>250.2952</v>
      </c>
      <c r="H91" s="35">
        <v>1.0</v>
      </c>
      <c r="I91" s="2">
        <f t="shared" si="47"/>
        <v>125.1476</v>
      </c>
      <c r="J91" s="35">
        <v>4.0</v>
      </c>
      <c r="K91" s="2">
        <f t="shared" si="48"/>
        <v>500.5904</v>
      </c>
      <c r="L91" s="47"/>
      <c r="M91" s="2">
        <f t="shared" si="5"/>
        <v>0</v>
      </c>
      <c r="N91" s="47"/>
      <c r="O91" s="47"/>
      <c r="P91" s="48"/>
      <c r="Q91" s="2">
        <f t="shared" si="7"/>
        <v>0</v>
      </c>
      <c r="R91" s="3"/>
      <c r="S91" s="2">
        <f t="shared" ref="S91:S112" si="66">$C91*R91</f>
        <v>0</v>
      </c>
      <c r="T91" s="48"/>
      <c r="U91" s="2">
        <f t="shared" si="9"/>
        <v>0</v>
      </c>
      <c r="V91" s="47"/>
      <c r="W91" s="2">
        <f t="shared" si="49"/>
        <v>0</v>
      </c>
      <c r="X91" s="49"/>
      <c r="Y91" s="47"/>
      <c r="Z91" s="47"/>
      <c r="AA91" s="47"/>
      <c r="AB91" s="49"/>
      <c r="AC91" s="47"/>
      <c r="AD91" s="47"/>
      <c r="AE91" s="2">
        <f t="shared" si="52"/>
        <v>0</v>
      </c>
      <c r="AF91" s="47"/>
      <c r="AG91" s="47"/>
      <c r="AH91" s="47"/>
      <c r="AI91" s="47"/>
      <c r="AJ91" s="35">
        <v>1.0</v>
      </c>
      <c r="AK91" s="2">
        <f t="shared" si="65"/>
        <v>125.1476</v>
      </c>
      <c r="AL91" s="35">
        <v>2.0</v>
      </c>
      <c r="AM91" s="2">
        <f t="shared" si="55"/>
        <v>250.2952</v>
      </c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</row>
    <row r="92">
      <c r="A92" s="37"/>
      <c r="B92" s="37" t="s">
        <v>128</v>
      </c>
      <c r="C92" s="51">
        <v>0.0</v>
      </c>
      <c r="D92" s="47"/>
      <c r="E92" s="44"/>
      <c r="F92" s="35">
        <v>36.0</v>
      </c>
      <c r="G92" s="2">
        <f t="shared" si="46"/>
        <v>0</v>
      </c>
      <c r="H92" s="35">
        <v>13.0</v>
      </c>
      <c r="I92" s="2">
        <f t="shared" si="47"/>
        <v>0</v>
      </c>
      <c r="J92" s="35">
        <v>20.0</v>
      </c>
      <c r="K92" s="2">
        <f t="shared" si="48"/>
        <v>0</v>
      </c>
      <c r="L92" s="49"/>
      <c r="M92" s="2">
        <f t="shared" si="5"/>
        <v>0</v>
      </c>
      <c r="N92" s="47"/>
      <c r="O92" s="47"/>
      <c r="P92" s="48"/>
      <c r="Q92" s="2">
        <f t="shared" si="7"/>
        <v>0</v>
      </c>
      <c r="R92" s="3"/>
      <c r="S92" s="2">
        <f t="shared" si="66"/>
        <v>0</v>
      </c>
      <c r="T92" s="48"/>
      <c r="U92" s="2">
        <f t="shared" si="9"/>
        <v>0</v>
      </c>
      <c r="V92" s="47"/>
      <c r="W92" s="2">
        <f t="shared" si="49"/>
        <v>0</v>
      </c>
      <c r="X92" s="49"/>
      <c r="Y92" s="47"/>
      <c r="Z92" s="47"/>
      <c r="AA92" s="47"/>
      <c r="AB92" s="49"/>
      <c r="AC92" s="47"/>
      <c r="AD92" s="47"/>
      <c r="AE92" s="2">
        <f t="shared" si="52"/>
        <v>0</v>
      </c>
      <c r="AF92" s="47"/>
      <c r="AG92" s="47"/>
      <c r="AH92" s="47"/>
      <c r="AI92" s="47"/>
      <c r="AJ92" s="47"/>
      <c r="AK92" s="47"/>
      <c r="AL92" s="35"/>
      <c r="AM92" s="2">
        <f t="shared" si="55"/>
        <v>0</v>
      </c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</row>
    <row r="93">
      <c r="A93" s="37"/>
      <c r="B93" s="37" t="s">
        <v>129</v>
      </c>
      <c r="C93" s="50">
        <f>211.85*1.22</f>
        <v>258.457</v>
      </c>
      <c r="D93" s="47"/>
      <c r="E93" s="44"/>
      <c r="F93" s="35">
        <v>1.0</v>
      </c>
      <c r="G93" s="2">
        <f t="shared" si="46"/>
        <v>258.457</v>
      </c>
      <c r="H93" s="35">
        <v>4.0</v>
      </c>
      <c r="I93" s="2">
        <f t="shared" si="47"/>
        <v>1033.828</v>
      </c>
      <c r="J93" s="35">
        <v>14.0</v>
      </c>
      <c r="K93" s="2">
        <f t="shared" si="48"/>
        <v>3618.398</v>
      </c>
      <c r="L93" s="47"/>
      <c r="M93" s="2">
        <f t="shared" si="5"/>
        <v>0</v>
      </c>
      <c r="N93" s="47"/>
      <c r="O93" s="47"/>
      <c r="P93" s="52">
        <v>1.0</v>
      </c>
      <c r="Q93" s="2">
        <f t="shared" si="7"/>
        <v>258.457</v>
      </c>
      <c r="R93" s="3"/>
      <c r="S93" s="2">
        <f t="shared" si="66"/>
        <v>0</v>
      </c>
      <c r="T93" s="48"/>
      <c r="U93" s="2">
        <f t="shared" si="9"/>
        <v>0</v>
      </c>
      <c r="V93" s="47"/>
      <c r="W93" s="2">
        <f t="shared" si="49"/>
        <v>0</v>
      </c>
      <c r="X93" s="49"/>
      <c r="Y93" s="47"/>
      <c r="Z93" s="47"/>
      <c r="AA93" s="47"/>
      <c r="AB93" s="49"/>
      <c r="AC93" s="47"/>
      <c r="AD93" s="47"/>
      <c r="AE93" s="2">
        <f t="shared" si="52"/>
        <v>0</v>
      </c>
      <c r="AF93" s="47"/>
      <c r="AG93" s="47"/>
      <c r="AH93" s="47"/>
      <c r="AI93" s="47"/>
      <c r="AJ93" s="47"/>
      <c r="AK93" s="47"/>
      <c r="AL93" s="35"/>
      <c r="AM93" s="2">
        <f t="shared" si="55"/>
        <v>0</v>
      </c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</row>
    <row r="94">
      <c r="A94" s="37"/>
      <c r="B94" s="37" t="s">
        <v>130</v>
      </c>
      <c r="C94" s="51">
        <v>0.0</v>
      </c>
      <c r="D94" s="47"/>
      <c r="E94" s="44"/>
      <c r="F94" s="47"/>
      <c r="G94" s="44"/>
      <c r="H94" s="35">
        <v>1.0</v>
      </c>
      <c r="I94" s="2">
        <f t="shared" si="47"/>
        <v>0</v>
      </c>
      <c r="J94" s="35">
        <v>1.0</v>
      </c>
      <c r="K94" s="2">
        <f t="shared" si="48"/>
        <v>0</v>
      </c>
      <c r="L94" s="47"/>
      <c r="M94" s="2">
        <f t="shared" si="5"/>
        <v>0</v>
      </c>
      <c r="N94" s="47"/>
      <c r="O94" s="47"/>
      <c r="P94" s="48"/>
      <c r="Q94" s="2">
        <f t="shared" si="7"/>
        <v>0</v>
      </c>
      <c r="R94" s="3"/>
      <c r="S94" s="2">
        <f t="shared" si="66"/>
        <v>0</v>
      </c>
      <c r="T94" s="48"/>
      <c r="U94" s="2">
        <f t="shared" si="9"/>
        <v>0</v>
      </c>
      <c r="V94" s="47"/>
      <c r="W94" s="2">
        <f t="shared" si="49"/>
        <v>0</v>
      </c>
      <c r="X94" s="49"/>
      <c r="Y94" s="47"/>
      <c r="Z94" s="47"/>
      <c r="AA94" s="47"/>
      <c r="AB94" s="49"/>
      <c r="AC94" s="47"/>
      <c r="AD94" s="47"/>
      <c r="AE94" s="2">
        <f t="shared" si="52"/>
        <v>0</v>
      </c>
      <c r="AF94" s="47"/>
      <c r="AG94" s="47"/>
      <c r="AH94" s="47"/>
      <c r="AI94" s="47"/>
      <c r="AJ94" s="47"/>
      <c r="AK94" s="47"/>
      <c r="AL94" s="35"/>
      <c r="AM94" s="2">
        <f t="shared" si="55"/>
        <v>0</v>
      </c>
      <c r="AN94" s="47"/>
      <c r="AO94" s="47"/>
      <c r="AP94" s="47"/>
      <c r="AQ94" s="47"/>
      <c r="AR94" s="47"/>
      <c r="AS94" s="48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</row>
    <row r="95">
      <c r="A95" s="37"/>
      <c r="B95" s="37" t="s">
        <v>131</v>
      </c>
      <c r="C95" s="38">
        <v>41.06</v>
      </c>
      <c r="D95" s="47"/>
      <c r="E95" s="44"/>
      <c r="F95" s="47"/>
      <c r="G95" s="44"/>
      <c r="H95" s="47"/>
      <c r="I95" s="47"/>
      <c r="J95" s="47"/>
      <c r="K95" s="47"/>
      <c r="L95" s="47"/>
      <c r="M95" s="47"/>
      <c r="N95" s="47"/>
      <c r="O95" s="47"/>
      <c r="P95" s="52">
        <v>8.0</v>
      </c>
      <c r="Q95" s="2">
        <f t="shared" si="7"/>
        <v>328.48</v>
      </c>
      <c r="R95" s="36">
        <v>6.0</v>
      </c>
      <c r="S95" s="2">
        <f t="shared" si="66"/>
        <v>246.36</v>
      </c>
      <c r="T95" s="52">
        <v>6.0</v>
      </c>
      <c r="U95" s="2">
        <f t="shared" si="9"/>
        <v>246.36</v>
      </c>
      <c r="V95" s="47"/>
      <c r="W95" s="47"/>
      <c r="X95" s="49"/>
      <c r="Y95" s="47"/>
      <c r="Z95" s="47"/>
      <c r="AA95" s="47"/>
      <c r="AB95" s="49"/>
      <c r="AC95" s="47"/>
      <c r="AD95" s="47"/>
      <c r="AE95" s="47"/>
      <c r="AF95" s="47"/>
      <c r="AG95" s="47"/>
      <c r="AH95" s="47"/>
      <c r="AI95" s="47"/>
      <c r="AL95" s="35"/>
      <c r="AM95" s="2">
        <f t="shared" si="55"/>
        <v>0</v>
      </c>
      <c r="AN95" s="35">
        <v>20.0</v>
      </c>
      <c r="AO95" s="52">
        <v>821.2</v>
      </c>
      <c r="AP95" s="35">
        <v>7.0</v>
      </c>
      <c r="AQ95" s="52">
        <v>287.55</v>
      </c>
      <c r="AR95" s="35">
        <v>12.0</v>
      </c>
      <c r="AS95" s="52">
        <v>492.72</v>
      </c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</row>
    <row r="96">
      <c r="A96" s="37"/>
      <c r="B96" s="37" t="s">
        <v>132</v>
      </c>
      <c r="C96" s="38">
        <v>485.47</v>
      </c>
      <c r="D96" s="47"/>
      <c r="E96" s="44"/>
      <c r="F96" s="47"/>
      <c r="G96" s="44"/>
      <c r="H96" s="47"/>
      <c r="I96" s="47"/>
      <c r="J96" s="47"/>
      <c r="K96" s="47"/>
      <c r="L96" s="47"/>
      <c r="M96" s="47"/>
      <c r="N96" s="47"/>
      <c r="O96" s="47"/>
      <c r="P96" s="48"/>
      <c r="Q96" s="2">
        <f t="shared" si="7"/>
        <v>0</v>
      </c>
      <c r="R96" s="3"/>
      <c r="S96" s="2">
        <f t="shared" si="66"/>
        <v>0</v>
      </c>
      <c r="T96" s="52">
        <v>5.0</v>
      </c>
      <c r="U96" s="2">
        <f t="shared" si="9"/>
        <v>2427.35</v>
      </c>
      <c r="V96" s="47"/>
      <c r="W96" s="47"/>
      <c r="X96" s="49"/>
      <c r="Y96" s="47"/>
      <c r="Z96" s="47"/>
      <c r="AA96" s="47"/>
      <c r="AB96" s="49"/>
      <c r="AC96" s="47"/>
      <c r="AD96" s="47"/>
      <c r="AE96" s="47"/>
      <c r="AF96" s="47"/>
      <c r="AG96" s="47"/>
      <c r="AH96" s="47"/>
      <c r="AI96" s="47"/>
      <c r="AJ96" s="47"/>
      <c r="AK96" s="47"/>
      <c r="AL96" s="35"/>
      <c r="AM96" s="47"/>
      <c r="AN96" s="35">
        <v>10.0</v>
      </c>
      <c r="AO96" s="52">
        <v>4854.7</v>
      </c>
      <c r="AP96" s="35">
        <v>7.0</v>
      </c>
      <c r="AQ96" s="52">
        <v>3398.29</v>
      </c>
      <c r="AR96" s="35">
        <v>1.0</v>
      </c>
      <c r="AS96" s="52">
        <v>485.47</v>
      </c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</row>
    <row r="97">
      <c r="A97" s="37"/>
      <c r="B97" s="37" t="s">
        <v>133</v>
      </c>
      <c r="C97" s="38">
        <v>728.19</v>
      </c>
      <c r="D97" s="47"/>
      <c r="E97" s="44"/>
      <c r="F97" s="47"/>
      <c r="G97" s="44"/>
      <c r="H97" s="47"/>
      <c r="I97" s="47"/>
      <c r="J97" s="47"/>
      <c r="K97" s="47"/>
      <c r="L97" s="47"/>
      <c r="M97" s="47"/>
      <c r="N97" s="47"/>
      <c r="O97" s="47"/>
      <c r="P97" s="48"/>
      <c r="Q97" s="2">
        <f t="shared" si="7"/>
        <v>0</v>
      </c>
      <c r="R97" s="3"/>
      <c r="S97" s="2">
        <f t="shared" si="66"/>
        <v>0</v>
      </c>
      <c r="T97" s="48"/>
      <c r="U97" s="2">
        <f t="shared" si="9"/>
        <v>0</v>
      </c>
      <c r="V97" s="47"/>
      <c r="W97" s="47"/>
      <c r="X97" s="49"/>
      <c r="Y97" s="47"/>
      <c r="Z97" s="47"/>
      <c r="AA97" s="47"/>
      <c r="AB97" s="49"/>
      <c r="AC97" s="47"/>
      <c r="AD97" s="47"/>
      <c r="AE97" s="47"/>
      <c r="AF97" s="47"/>
      <c r="AG97" s="47"/>
      <c r="AH97" s="47"/>
      <c r="AI97" s="47"/>
      <c r="AJ97" s="47"/>
      <c r="AK97" s="47"/>
      <c r="AL97" s="35"/>
      <c r="AM97" s="47"/>
      <c r="AN97" s="35"/>
      <c r="AO97" s="52"/>
      <c r="AP97" s="35"/>
      <c r="AQ97" s="52"/>
      <c r="AR97" s="35">
        <v>1.0</v>
      </c>
      <c r="AS97" s="38">
        <v>728.19</v>
      </c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</row>
    <row r="98">
      <c r="A98" s="37"/>
      <c r="B98" s="37" t="s">
        <v>134</v>
      </c>
      <c r="C98" s="38">
        <v>970.94</v>
      </c>
      <c r="D98" s="47"/>
      <c r="E98" s="44"/>
      <c r="F98" s="47"/>
      <c r="G98" s="44"/>
      <c r="H98" s="47"/>
      <c r="I98" s="47"/>
      <c r="J98" s="47"/>
      <c r="K98" s="47"/>
      <c r="L98" s="47"/>
      <c r="M98" s="47"/>
      <c r="N98" s="47"/>
      <c r="O98" s="47"/>
      <c r="P98" s="48"/>
      <c r="Q98" s="2">
        <f t="shared" si="7"/>
        <v>0</v>
      </c>
      <c r="R98" s="3"/>
      <c r="S98" s="2">
        <f t="shared" si="66"/>
        <v>0</v>
      </c>
      <c r="T98" s="48"/>
      <c r="U98" s="2">
        <f t="shared" si="9"/>
        <v>0</v>
      </c>
      <c r="V98" s="47"/>
      <c r="W98" s="47"/>
      <c r="X98" s="49"/>
      <c r="Y98" s="47"/>
      <c r="Z98" s="47"/>
      <c r="AA98" s="47"/>
      <c r="AB98" s="49"/>
      <c r="AC98" s="47"/>
      <c r="AD98" s="47"/>
      <c r="AE98" s="47"/>
      <c r="AF98" s="47"/>
      <c r="AG98" s="47"/>
      <c r="AH98" s="47"/>
      <c r="AI98" s="47"/>
      <c r="AJ98" s="47"/>
      <c r="AK98" s="47"/>
      <c r="AL98" s="35"/>
      <c r="AM98" s="47"/>
      <c r="AN98" s="35">
        <v>2.0</v>
      </c>
      <c r="AO98" s="52">
        <v>1941.88</v>
      </c>
      <c r="AP98" s="35"/>
      <c r="AQ98" s="52"/>
      <c r="AR98" s="35">
        <v>7.0</v>
      </c>
      <c r="AS98" s="52">
        <v>6796.58</v>
      </c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</row>
    <row r="99">
      <c r="A99" s="37"/>
      <c r="B99" s="37" t="s">
        <v>135</v>
      </c>
      <c r="C99" s="38">
        <v>181.12</v>
      </c>
      <c r="D99" s="47"/>
      <c r="E99" s="44"/>
      <c r="F99" s="47"/>
      <c r="G99" s="44"/>
      <c r="H99" s="47"/>
      <c r="I99" s="47"/>
      <c r="J99" s="47"/>
      <c r="K99" s="47"/>
      <c r="L99" s="47"/>
      <c r="M99" s="47"/>
      <c r="N99" s="47"/>
      <c r="O99" s="47"/>
      <c r="P99" s="52">
        <v>3.0</v>
      </c>
      <c r="Q99" s="2">
        <f t="shared" si="7"/>
        <v>543.36</v>
      </c>
      <c r="R99" s="36">
        <v>2.0</v>
      </c>
      <c r="S99" s="2">
        <f t="shared" si="66"/>
        <v>362.24</v>
      </c>
      <c r="T99" s="48"/>
      <c r="U99" s="2">
        <f t="shared" si="9"/>
        <v>0</v>
      </c>
      <c r="V99" s="47"/>
      <c r="W99" s="47"/>
      <c r="X99" s="49"/>
      <c r="Y99" s="47"/>
      <c r="Z99" s="47"/>
      <c r="AA99" s="47"/>
      <c r="AB99" s="49"/>
      <c r="AC99" s="47"/>
      <c r="AD99" s="47"/>
      <c r="AE99" s="47"/>
      <c r="AF99" s="47"/>
      <c r="AG99" s="47"/>
      <c r="AH99" s="47"/>
      <c r="AI99" s="47"/>
      <c r="AJ99" s="47"/>
      <c r="AK99" s="47"/>
      <c r="AL99" s="35"/>
      <c r="AM99" s="47"/>
      <c r="AN99" s="35"/>
      <c r="AO99" s="52"/>
      <c r="AP99" s="35">
        <v>1.0</v>
      </c>
      <c r="AQ99" s="38">
        <v>181.12</v>
      </c>
      <c r="AR99" s="35"/>
      <c r="AS99" s="52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</row>
    <row r="100">
      <c r="A100" s="37"/>
      <c r="B100" s="37" t="s">
        <v>136</v>
      </c>
      <c r="C100" s="38">
        <v>362.24</v>
      </c>
      <c r="D100" s="47"/>
      <c r="E100" s="44"/>
      <c r="F100" s="47"/>
      <c r="G100" s="44"/>
      <c r="H100" s="47"/>
      <c r="I100" s="47"/>
      <c r="J100" s="47"/>
      <c r="K100" s="47"/>
      <c r="L100" s="47"/>
      <c r="M100" s="47"/>
      <c r="N100" s="47"/>
      <c r="O100" s="47"/>
      <c r="P100" s="48"/>
      <c r="Q100" s="2">
        <f t="shared" si="7"/>
        <v>0</v>
      </c>
      <c r="R100" s="3"/>
      <c r="S100" s="2">
        <f t="shared" si="66"/>
        <v>0</v>
      </c>
      <c r="T100" s="48"/>
      <c r="U100" s="2">
        <f t="shared" si="9"/>
        <v>0</v>
      </c>
      <c r="V100" s="47"/>
      <c r="W100" s="47"/>
      <c r="X100" s="49"/>
      <c r="Y100" s="47"/>
      <c r="Z100" s="47"/>
      <c r="AA100" s="47"/>
      <c r="AB100" s="49"/>
      <c r="AC100" s="47"/>
      <c r="AD100" s="47"/>
      <c r="AE100" s="47"/>
      <c r="AF100" s="47"/>
      <c r="AG100" s="47"/>
      <c r="AH100" s="47"/>
      <c r="AI100" s="47"/>
      <c r="AJ100" s="47"/>
      <c r="AK100" s="47"/>
      <c r="AL100" s="35"/>
      <c r="AM100" s="47"/>
      <c r="AN100" s="35"/>
      <c r="AO100" s="52"/>
      <c r="AP100" s="35">
        <v>1.0</v>
      </c>
      <c r="AQ100" s="38">
        <v>362.24</v>
      </c>
      <c r="AR100" s="35">
        <v>1.0</v>
      </c>
      <c r="AS100" s="38">
        <v>362.24</v>
      </c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</row>
    <row r="101">
      <c r="A101" s="37"/>
      <c r="B101" s="37" t="s">
        <v>137</v>
      </c>
      <c r="C101" s="38">
        <v>725.16</v>
      </c>
      <c r="D101" s="47"/>
      <c r="E101" s="44"/>
      <c r="F101" s="47"/>
      <c r="G101" s="44"/>
      <c r="H101" s="47"/>
      <c r="I101" s="47"/>
      <c r="J101" s="47"/>
      <c r="K101" s="47"/>
      <c r="L101" s="47"/>
      <c r="M101" s="47"/>
      <c r="N101" s="47"/>
      <c r="O101" s="47"/>
      <c r="P101" s="48"/>
      <c r="Q101" s="2">
        <f t="shared" si="7"/>
        <v>0</v>
      </c>
      <c r="R101" s="3"/>
      <c r="S101" s="2">
        <f t="shared" si="66"/>
        <v>0</v>
      </c>
      <c r="T101" s="48"/>
      <c r="U101" s="2">
        <f t="shared" si="9"/>
        <v>0</v>
      </c>
      <c r="V101" s="47"/>
      <c r="W101" s="47"/>
      <c r="X101" s="49"/>
      <c r="Y101" s="47"/>
      <c r="Z101" s="47"/>
      <c r="AA101" s="47"/>
      <c r="AB101" s="49"/>
      <c r="AC101" s="47"/>
      <c r="AD101" s="47"/>
      <c r="AE101" s="47"/>
      <c r="AF101" s="47"/>
      <c r="AG101" s="47"/>
      <c r="AH101" s="47"/>
      <c r="AI101" s="47"/>
      <c r="AJ101" s="47"/>
      <c r="AK101" s="47"/>
      <c r="AL101" s="35"/>
      <c r="AM101" s="47"/>
      <c r="AN101" s="35"/>
      <c r="AO101" s="52"/>
      <c r="AP101" s="35">
        <v>2.0</v>
      </c>
      <c r="AQ101" s="53">
        <v>1450.32</v>
      </c>
      <c r="AR101" s="35">
        <v>1.0</v>
      </c>
      <c r="AS101" s="52">
        <v>725.16</v>
      </c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</row>
    <row r="102">
      <c r="A102" s="37"/>
      <c r="B102" s="37" t="s">
        <v>138</v>
      </c>
      <c r="C102" s="38">
        <v>200.0</v>
      </c>
      <c r="D102" s="47"/>
      <c r="E102" s="44"/>
      <c r="F102" s="47"/>
      <c r="G102" s="44"/>
      <c r="H102" s="47"/>
      <c r="I102" s="47"/>
      <c r="J102" s="47"/>
      <c r="K102" s="47"/>
      <c r="L102" s="47"/>
      <c r="M102" s="47"/>
      <c r="N102" s="47"/>
      <c r="O102" s="47"/>
      <c r="P102" s="48"/>
      <c r="Q102" s="2">
        <f t="shared" si="7"/>
        <v>0</v>
      </c>
      <c r="R102" s="3"/>
      <c r="S102" s="2">
        <f t="shared" si="66"/>
        <v>0</v>
      </c>
      <c r="T102" s="48"/>
      <c r="U102" s="2">
        <f t="shared" si="9"/>
        <v>0</v>
      </c>
      <c r="V102" s="47"/>
      <c r="W102" s="47"/>
      <c r="X102" s="49"/>
      <c r="Y102" s="47"/>
      <c r="Z102" s="47"/>
      <c r="AA102" s="47"/>
      <c r="AB102" s="49"/>
      <c r="AC102" s="47"/>
      <c r="AD102" s="47"/>
      <c r="AE102" s="47"/>
      <c r="AF102" s="47"/>
      <c r="AG102" s="47"/>
      <c r="AH102" s="47"/>
      <c r="AI102" s="47"/>
      <c r="AJ102" s="47"/>
      <c r="AK102" s="47"/>
      <c r="AL102" s="35"/>
      <c r="AM102" s="47"/>
      <c r="AN102" s="35"/>
      <c r="AO102" s="52"/>
      <c r="AP102" s="35">
        <v>1.0</v>
      </c>
      <c r="AQ102" s="53">
        <v>200.0</v>
      </c>
      <c r="AR102" s="35"/>
      <c r="AS102" s="52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</row>
    <row r="103">
      <c r="A103" s="37"/>
      <c r="B103" s="37" t="s">
        <v>139</v>
      </c>
      <c r="C103" s="38">
        <v>526.41</v>
      </c>
      <c r="D103" s="47"/>
      <c r="E103" s="44"/>
      <c r="F103" s="47"/>
      <c r="G103" s="44"/>
      <c r="H103" s="47"/>
      <c r="I103" s="47"/>
      <c r="J103" s="47"/>
      <c r="K103" s="47"/>
      <c r="L103" s="47"/>
      <c r="M103" s="47"/>
      <c r="N103" s="47"/>
      <c r="O103" s="47"/>
      <c r="P103" s="48"/>
      <c r="Q103" s="2">
        <f t="shared" si="7"/>
        <v>0</v>
      </c>
      <c r="R103" s="3"/>
      <c r="S103" s="2">
        <f t="shared" si="66"/>
        <v>0</v>
      </c>
      <c r="T103" s="48"/>
      <c r="U103" s="2">
        <f t="shared" si="9"/>
        <v>0</v>
      </c>
      <c r="V103" s="47"/>
      <c r="W103" s="47"/>
      <c r="X103" s="49"/>
      <c r="Y103" s="47"/>
      <c r="Z103" s="47"/>
      <c r="AA103" s="47"/>
      <c r="AB103" s="49"/>
      <c r="AC103" s="47"/>
      <c r="AD103" s="47"/>
      <c r="AE103" s="47"/>
      <c r="AF103" s="47"/>
      <c r="AG103" s="47"/>
      <c r="AH103" s="47"/>
      <c r="AI103" s="47"/>
      <c r="AJ103" s="47"/>
      <c r="AK103" s="47"/>
      <c r="AL103" s="35"/>
      <c r="AM103" s="47"/>
      <c r="AN103" s="35"/>
      <c r="AO103" s="52"/>
      <c r="AP103" s="35">
        <v>1.0</v>
      </c>
      <c r="AQ103" s="38">
        <v>526.41</v>
      </c>
      <c r="AR103" s="35"/>
      <c r="AS103" s="52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</row>
    <row r="104">
      <c r="A104" s="37"/>
      <c r="B104" s="37" t="s">
        <v>140</v>
      </c>
      <c r="C104" s="38">
        <v>243.95</v>
      </c>
      <c r="D104" s="47"/>
      <c r="E104" s="44"/>
      <c r="F104" s="47"/>
      <c r="G104" s="44"/>
      <c r="H104" s="47"/>
      <c r="I104" s="47"/>
      <c r="J104" s="47"/>
      <c r="K104" s="47"/>
      <c r="L104" s="47"/>
      <c r="M104" s="47"/>
      <c r="N104" s="47"/>
      <c r="O104" s="47"/>
      <c r="P104" s="48"/>
      <c r="Q104" s="2">
        <f t="shared" si="7"/>
        <v>0</v>
      </c>
      <c r="R104" s="3"/>
      <c r="S104" s="2">
        <f t="shared" si="66"/>
        <v>0</v>
      </c>
      <c r="T104" s="48"/>
      <c r="U104" s="2">
        <f t="shared" si="9"/>
        <v>0</v>
      </c>
      <c r="V104" s="47"/>
      <c r="W104" s="47"/>
      <c r="X104" s="49"/>
      <c r="Y104" s="47"/>
      <c r="Z104" s="47"/>
      <c r="AA104" s="47"/>
      <c r="AB104" s="49"/>
      <c r="AC104" s="47"/>
      <c r="AD104" s="47"/>
      <c r="AE104" s="47"/>
      <c r="AF104" s="47"/>
      <c r="AG104" s="47"/>
      <c r="AH104" s="47"/>
      <c r="AI104" s="47"/>
      <c r="AJ104" s="47"/>
      <c r="AK104" s="47"/>
      <c r="AL104" s="35"/>
      <c r="AM104" s="47"/>
      <c r="AN104" s="35"/>
      <c r="AO104" s="52"/>
      <c r="AP104" s="35">
        <v>2.0</v>
      </c>
      <c r="AQ104" s="52">
        <v>487.9</v>
      </c>
      <c r="AR104" s="35"/>
      <c r="AS104" s="52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</row>
    <row r="105">
      <c r="A105" s="37"/>
      <c r="B105" s="37" t="s">
        <v>141</v>
      </c>
      <c r="C105" s="38">
        <v>1673.84</v>
      </c>
      <c r="D105" s="47"/>
      <c r="E105" s="44"/>
      <c r="F105" s="47"/>
      <c r="G105" s="44"/>
      <c r="H105" s="47"/>
      <c r="I105" s="47"/>
      <c r="J105" s="47"/>
      <c r="K105" s="47"/>
      <c r="L105" s="47"/>
      <c r="M105" s="47"/>
      <c r="N105" s="47"/>
      <c r="O105" s="47"/>
      <c r="P105" s="48"/>
      <c r="Q105" s="2">
        <f t="shared" si="7"/>
        <v>0</v>
      </c>
      <c r="R105" s="3"/>
      <c r="S105" s="2">
        <f t="shared" si="66"/>
        <v>0</v>
      </c>
      <c r="T105" s="48"/>
      <c r="U105" s="2">
        <f t="shared" si="9"/>
        <v>0</v>
      </c>
      <c r="V105" s="47"/>
      <c r="W105" s="47"/>
      <c r="X105" s="49"/>
      <c r="Y105" s="47"/>
      <c r="Z105" s="47"/>
      <c r="AA105" s="47"/>
      <c r="AB105" s="49"/>
      <c r="AC105" s="47"/>
      <c r="AD105" s="47"/>
      <c r="AE105" s="47"/>
      <c r="AF105" s="47"/>
      <c r="AG105" s="47"/>
      <c r="AH105" s="47"/>
      <c r="AI105" s="47"/>
      <c r="AJ105" s="47"/>
      <c r="AK105" s="47"/>
      <c r="AL105" s="35"/>
      <c r="AM105" s="47"/>
      <c r="AN105" s="35"/>
      <c r="AO105" s="52"/>
      <c r="AP105" s="35">
        <v>1.0</v>
      </c>
      <c r="AQ105" s="38">
        <v>1673.84</v>
      </c>
      <c r="AR105" s="35"/>
      <c r="AS105" s="52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</row>
    <row r="106">
      <c r="A106" s="37"/>
      <c r="B106" s="37" t="s">
        <v>142</v>
      </c>
      <c r="C106" s="38">
        <v>286.16</v>
      </c>
      <c r="D106" s="47"/>
      <c r="E106" s="44"/>
      <c r="F106" s="47"/>
      <c r="G106" s="44"/>
      <c r="H106" s="47"/>
      <c r="I106" s="47"/>
      <c r="J106" s="47"/>
      <c r="K106" s="47"/>
      <c r="L106" s="47"/>
      <c r="M106" s="47"/>
      <c r="N106" s="47"/>
      <c r="O106" s="47"/>
      <c r="P106" s="48"/>
      <c r="Q106" s="2">
        <f t="shared" si="7"/>
        <v>0</v>
      </c>
      <c r="R106" s="3"/>
      <c r="S106" s="2">
        <f t="shared" si="66"/>
        <v>0</v>
      </c>
      <c r="T106" s="48"/>
      <c r="U106" s="2">
        <f t="shared" si="9"/>
        <v>0</v>
      </c>
      <c r="V106" s="47"/>
      <c r="W106" s="47"/>
      <c r="X106" s="49"/>
      <c r="Y106" s="47"/>
      <c r="Z106" s="47"/>
      <c r="AA106" s="47"/>
      <c r="AB106" s="49"/>
      <c r="AC106" s="47"/>
      <c r="AD106" s="47"/>
      <c r="AE106" s="47"/>
      <c r="AF106" s="47"/>
      <c r="AG106" s="47"/>
      <c r="AH106" s="47"/>
      <c r="AI106" s="47"/>
      <c r="AJ106" s="47"/>
      <c r="AK106" s="47"/>
      <c r="AL106" s="35"/>
      <c r="AM106" s="47"/>
      <c r="AN106" s="35">
        <v>13.0</v>
      </c>
      <c r="AO106" s="52">
        <v>3720.08</v>
      </c>
      <c r="AP106" s="35"/>
      <c r="AQ106" s="52"/>
      <c r="AR106" s="35">
        <v>10.0</v>
      </c>
      <c r="AS106" s="52">
        <v>2861.6</v>
      </c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</row>
    <row r="107">
      <c r="A107" s="37"/>
      <c r="B107" s="37" t="s">
        <v>143</v>
      </c>
      <c r="C107" s="38">
        <v>4500.0</v>
      </c>
      <c r="D107" s="47"/>
      <c r="E107" s="44"/>
      <c r="F107" s="47"/>
      <c r="G107" s="44"/>
      <c r="H107" s="47"/>
      <c r="I107" s="47"/>
      <c r="J107" s="47"/>
      <c r="K107" s="47"/>
      <c r="L107" s="47"/>
      <c r="M107" s="47"/>
      <c r="N107" s="47"/>
      <c r="O107" s="47"/>
      <c r="P107" s="48"/>
      <c r="Q107" s="2">
        <f t="shared" si="7"/>
        <v>0</v>
      </c>
      <c r="R107" s="3"/>
      <c r="S107" s="2">
        <f t="shared" si="66"/>
        <v>0</v>
      </c>
      <c r="T107" s="48"/>
      <c r="U107" s="2">
        <f t="shared" si="9"/>
        <v>0</v>
      </c>
      <c r="V107" s="47"/>
      <c r="W107" s="47"/>
      <c r="X107" s="49"/>
      <c r="Y107" s="47"/>
      <c r="Z107" s="47"/>
      <c r="AA107" s="47"/>
      <c r="AB107" s="49"/>
      <c r="AC107" s="47"/>
      <c r="AD107" s="47"/>
      <c r="AE107" s="47"/>
      <c r="AF107" s="47"/>
      <c r="AG107" s="47"/>
      <c r="AH107" s="47"/>
      <c r="AI107" s="47"/>
      <c r="AJ107" s="47"/>
      <c r="AK107" s="47"/>
      <c r="AL107" s="35"/>
      <c r="AM107" s="47"/>
      <c r="AN107" s="35">
        <v>1.0</v>
      </c>
      <c r="AO107" s="52">
        <v>4500.0</v>
      </c>
      <c r="AP107" s="35"/>
      <c r="AQ107" s="52"/>
      <c r="AR107" s="35">
        <v>1.0</v>
      </c>
      <c r="AS107" s="52">
        <v>4500.0</v>
      </c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</row>
    <row r="108">
      <c r="A108" s="37"/>
      <c r="B108" s="37" t="s">
        <v>144</v>
      </c>
      <c r="C108" s="38">
        <v>144.21</v>
      </c>
      <c r="D108" s="47"/>
      <c r="E108" s="44"/>
      <c r="F108" s="47"/>
      <c r="G108" s="44"/>
      <c r="H108" s="47"/>
      <c r="I108" s="47"/>
      <c r="J108" s="47"/>
      <c r="K108" s="47"/>
      <c r="L108" s="47"/>
      <c r="M108" s="47"/>
      <c r="N108" s="47"/>
      <c r="O108" s="47"/>
      <c r="P108" s="48"/>
      <c r="Q108" s="2">
        <f t="shared" si="7"/>
        <v>0</v>
      </c>
      <c r="R108" s="3"/>
      <c r="S108" s="2">
        <f t="shared" si="66"/>
        <v>0</v>
      </c>
      <c r="T108" s="48"/>
      <c r="U108" s="2">
        <f t="shared" si="9"/>
        <v>0</v>
      </c>
      <c r="V108" s="47"/>
      <c r="W108" s="47"/>
      <c r="X108" s="49"/>
      <c r="Y108" s="47"/>
      <c r="Z108" s="47"/>
      <c r="AA108" s="47"/>
      <c r="AB108" s="49"/>
      <c r="AC108" s="47"/>
      <c r="AD108" s="47"/>
      <c r="AE108" s="47"/>
      <c r="AF108" s="47"/>
      <c r="AG108" s="47"/>
      <c r="AH108" s="47"/>
      <c r="AI108" s="47"/>
      <c r="AJ108" s="47"/>
      <c r="AK108" s="47"/>
      <c r="AL108" s="35"/>
      <c r="AM108" s="47"/>
      <c r="AN108" s="35">
        <v>24.0</v>
      </c>
      <c r="AO108" s="52">
        <v>3461.18</v>
      </c>
      <c r="AP108" s="35"/>
      <c r="AQ108" s="52"/>
      <c r="AR108" s="35">
        <v>10.0</v>
      </c>
      <c r="AS108" s="52">
        <v>1442.1</v>
      </c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</row>
    <row r="109">
      <c r="A109" s="37"/>
      <c r="B109" s="37" t="s">
        <v>145</v>
      </c>
      <c r="C109" s="38">
        <v>86.48</v>
      </c>
      <c r="D109" s="47"/>
      <c r="E109" s="44"/>
      <c r="F109" s="47"/>
      <c r="G109" s="44"/>
      <c r="H109" s="47"/>
      <c r="I109" s="47"/>
      <c r="J109" s="47"/>
      <c r="K109" s="47"/>
      <c r="L109" s="47"/>
      <c r="M109" s="47"/>
      <c r="N109" s="47"/>
      <c r="O109" s="47"/>
      <c r="P109" s="48"/>
      <c r="Q109" s="2">
        <f t="shared" si="7"/>
        <v>0</v>
      </c>
      <c r="R109" s="36">
        <v>10.0</v>
      </c>
      <c r="S109" s="2">
        <f t="shared" si="66"/>
        <v>864.8</v>
      </c>
      <c r="T109" s="52">
        <v>25.0</v>
      </c>
      <c r="U109" s="2">
        <f t="shared" si="9"/>
        <v>2162</v>
      </c>
      <c r="V109" s="47"/>
      <c r="W109" s="47"/>
      <c r="X109" s="49"/>
      <c r="Y109" s="47"/>
      <c r="Z109" s="47"/>
      <c r="AA109" s="47"/>
      <c r="AB109" s="49"/>
      <c r="AC109" s="47"/>
      <c r="AD109" s="47"/>
      <c r="AE109" s="47"/>
      <c r="AF109" s="47"/>
      <c r="AG109" s="47"/>
      <c r="AH109" s="47"/>
      <c r="AI109" s="47"/>
      <c r="AJ109" s="47"/>
      <c r="AK109" s="47"/>
      <c r="AL109" s="35"/>
      <c r="AM109" s="47"/>
      <c r="AN109" s="35">
        <v>37.0</v>
      </c>
      <c r="AO109" s="52">
        <v>3200.0</v>
      </c>
      <c r="AP109" s="35"/>
      <c r="AQ109" s="52"/>
      <c r="AR109" s="35"/>
      <c r="AS109" s="52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</row>
    <row r="110">
      <c r="A110" s="37"/>
      <c r="B110" s="37" t="s">
        <v>146</v>
      </c>
      <c r="C110" s="38">
        <v>2744.51</v>
      </c>
      <c r="D110" s="47"/>
      <c r="E110" s="44"/>
      <c r="F110" s="47"/>
      <c r="G110" s="44"/>
      <c r="H110" s="47"/>
      <c r="I110" s="47"/>
      <c r="J110" s="47"/>
      <c r="K110" s="47"/>
      <c r="L110" s="47"/>
      <c r="M110" s="47"/>
      <c r="N110" s="47"/>
      <c r="O110" s="47"/>
      <c r="P110" s="48"/>
      <c r="Q110" s="2">
        <f t="shared" si="7"/>
        <v>0</v>
      </c>
      <c r="R110" s="3"/>
      <c r="S110" s="2">
        <f t="shared" si="66"/>
        <v>0</v>
      </c>
      <c r="T110" s="48"/>
      <c r="U110" s="2">
        <f t="shared" si="9"/>
        <v>0</v>
      </c>
      <c r="V110" s="47"/>
      <c r="W110" s="47"/>
      <c r="X110" s="49"/>
      <c r="Y110" s="47"/>
      <c r="Z110" s="47"/>
      <c r="AA110" s="47"/>
      <c r="AB110" s="49"/>
      <c r="AC110" s="47"/>
      <c r="AD110" s="47"/>
      <c r="AE110" s="47"/>
      <c r="AF110" s="47"/>
      <c r="AG110" s="47"/>
      <c r="AH110" s="47"/>
      <c r="AI110" s="47"/>
      <c r="AJ110" s="47"/>
      <c r="AK110" s="47"/>
      <c r="AL110" s="35"/>
      <c r="AM110" s="47"/>
      <c r="AN110" s="35">
        <v>2.0</v>
      </c>
      <c r="AO110" s="52">
        <v>5489.02</v>
      </c>
      <c r="AP110" s="35"/>
      <c r="AQ110" s="52"/>
      <c r="AR110" s="35">
        <v>2.0</v>
      </c>
      <c r="AS110" s="52">
        <v>5489.02</v>
      </c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</row>
    <row r="111">
      <c r="A111" s="37"/>
      <c r="B111" s="37" t="s">
        <v>147</v>
      </c>
      <c r="C111" s="38">
        <v>1500.0</v>
      </c>
      <c r="D111" s="47"/>
      <c r="E111" s="44"/>
      <c r="F111" s="47"/>
      <c r="G111" s="44"/>
      <c r="H111" s="47"/>
      <c r="I111" s="47"/>
      <c r="J111" s="47"/>
      <c r="K111" s="47"/>
      <c r="L111" s="47"/>
      <c r="M111" s="47"/>
      <c r="N111" s="47"/>
      <c r="O111" s="47"/>
      <c r="P111" s="48"/>
      <c r="Q111" s="2">
        <f t="shared" si="7"/>
        <v>0</v>
      </c>
      <c r="R111" s="3"/>
      <c r="S111" s="2">
        <f t="shared" si="66"/>
        <v>0</v>
      </c>
      <c r="T111" s="48"/>
      <c r="U111" s="2">
        <f t="shared" si="9"/>
        <v>0</v>
      </c>
      <c r="V111" s="47"/>
      <c r="W111" s="47"/>
      <c r="X111" s="49"/>
      <c r="Y111" s="47"/>
      <c r="Z111" s="47"/>
      <c r="AA111" s="47"/>
      <c r="AB111" s="49"/>
      <c r="AC111" s="47"/>
      <c r="AD111" s="47"/>
      <c r="AE111" s="47"/>
      <c r="AF111" s="47"/>
      <c r="AG111" s="47"/>
      <c r="AH111" s="47"/>
      <c r="AI111" s="47"/>
      <c r="AJ111" s="47"/>
      <c r="AK111" s="47"/>
      <c r="AL111" s="35"/>
      <c r="AM111" s="47"/>
      <c r="AN111" s="35">
        <v>1.0</v>
      </c>
      <c r="AO111" s="52">
        <v>1500.0</v>
      </c>
      <c r="AP111" s="35"/>
      <c r="AQ111" s="52"/>
      <c r="AS111" s="52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</row>
    <row r="112">
      <c r="A112" s="37"/>
      <c r="B112" s="37" t="s">
        <v>148</v>
      </c>
      <c r="C112" s="38">
        <v>122.0</v>
      </c>
      <c r="D112" s="47"/>
      <c r="E112" s="44"/>
      <c r="F112" s="47"/>
      <c r="G112" s="44"/>
      <c r="H112" s="47"/>
      <c r="I112" s="47"/>
      <c r="J112" s="47"/>
      <c r="K112" s="47"/>
      <c r="L112" s="47"/>
      <c r="M112" s="47"/>
      <c r="N112" s="47"/>
      <c r="O112" s="47"/>
      <c r="P112" s="48"/>
      <c r="Q112" s="2">
        <f t="shared" si="7"/>
        <v>0</v>
      </c>
      <c r="R112" s="3"/>
      <c r="S112" s="2">
        <f t="shared" si="66"/>
        <v>0</v>
      </c>
      <c r="T112" s="48"/>
      <c r="U112" s="2">
        <f t="shared" si="9"/>
        <v>0</v>
      </c>
      <c r="V112" s="47"/>
      <c r="W112" s="47"/>
      <c r="X112" s="49"/>
      <c r="Y112" s="47"/>
      <c r="Z112" s="47"/>
      <c r="AA112" s="47"/>
      <c r="AB112" s="49"/>
      <c r="AC112" s="47"/>
      <c r="AD112" s="47"/>
      <c r="AE112" s="47"/>
      <c r="AF112" s="47"/>
      <c r="AG112" s="47"/>
      <c r="AH112" s="47"/>
      <c r="AI112" s="47"/>
      <c r="AJ112" s="47"/>
      <c r="AK112" s="47"/>
      <c r="AL112" s="35"/>
      <c r="AM112" s="47"/>
      <c r="AN112" s="35">
        <v>3.0</v>
      </c>
      <c r="AO112" s="52">
        <v>366.0</v>
      </c>
      <c r="AP112" s="35">
        <v>2.0</v>
      </c>
      <c r="AQ112" s="52">
        <v>244.0</v>
      </c>
      <c r="AR112" s="35">
        <v>4.0</v>
      </c>
      <c r="AS112" s="52">
        <v>488.0</v>
      </c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</row>
    <row r="113">
      <c r="A113" s="54"/>
      <c r="B113" s="55" t="s">
        <v>149</v>
      </c>
      <c r="C113" s="38">
        <v>5000.0</v>
      </c>
      <c r="D113" s="47"/>
      <c r="E113" s="44"/>
      <c r="F113" s="47"/>
      <c r="G113" s="44"/>
      <c r="H113" s="47"/>
      <c r="I113" s="47"/>
      <c r="J113" s="47"/>
      <c r="K113" s="47"/>
      <c r="L113" s="47"/>
      <c r="M113" s="47"/>
      <c r="N113" s="47"/>
      <c r="O113" s="47"/>
      <c r="P113" s="48"/>
      <c r="Q113" s="2">
        <f t="shared" si="7"/>
        <v>0</v>
      </c>
      <c r="R113" s="36"/>
      <c r="S113" s="2"/>
      <c r="T113" s="48"/>
      <c r="U113" s="2">
        <f t="shared" si="9"/>
        <v>0</v>
      </c>
      <c r="V113" s="47"/>
      <c r="W113" s="47"/>
      <c r="X113" s="49"/>
      <c r="Y113" s="47"/>
      <c r="Z113" s="47"/>
      <c r="AA113" s="47"/>
      <c r="AB113" s="49"/>
      <c r="AC113" s="47"/>
      <c r="AD113" s="47"/>
      <c r="AE113" s="47"/>
      <c r="AF113" s="47"/>
      <c r="AG113" s="47"/>
      <c r="AH113" s="47"/>
      <c r="AI113" s="47"/>
      <c r="AJ113" s="47"/>
      <c r="AK113" s="47"/>
      <c r="AL113" s="35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</row>
    <row r="114">
      <c r="A114" s="54"/>
      <c r="B114" s="54"/>
      <c r="C114" s="44"/>
      <c r="D114" s="47"/>
      <c r="E114" s="44"/>
      <c r="F114" s="47"/>
      <c r="G114" s="44"/>
      <c r="H114" s="47"/>
      <c r="I114" s="47"/>
      <c r="J114" s="47"/>
      <c r="K114" s="47"/>
      <c r="L114" s="47"/>
      <c r="M114" s="47"/>
      <c r="N114" s="47"/>
      <c r="O114" s="47"/>
      <c r="P114" s="48"/>
      <c r="Q114" s="47"/>
      <c r="R114" s="3"/>
      <c r="S114" s="44"/>
      <c r="T114" s="47"/>
      <c r="U114" s="44"/>
      <c r="V114" s="47"/>
      <c r="W114" s="47"/>
      <c r="X114" s="49"/>
      <c r="Y114" s="47"/>
      <c r="Z114" s="47"/>
      <c r="AA114" s="47"/>
      <c r="AB114" s="49"/>
      <c r="AC114" s="47"/>
      <c r="AD114" s="47"/>
      <c r="AE114" s="47"/>
      <c r="AF114" s="47"/>
      <c r="AG114" s="47"/>
      <c r="AH114" s="47"/>
      <c r="AI114" s="47"/>
      <c r="AJ114" s="47"/>
      <c r="AK114" s="47"/>
      <c r="AL114" s="35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</row>
    <row r="115">
      <c r="A115" s="54"/>
      <c r="B115" s="56" t="s">
        <v>150</v>
      </c>
      <c r="C115" s="57">
        <f>SUM(E115:BC115)</f>
        <v>1440596.336</v>
      </c>
      <c r="D115" s="47"/>
      <c r="E115" s="44">
        <f>SUM(E8:E89)</f>
        <v>2396.468</v>
      </c>
      <c r="F115" s="47"/>
      <c r="G115" s="44">
        <f>SUM(G8:G93)</f>
        <v>64321.5942</v>
      </c>
      <c r="H115" s="47"/>
      <c r="I115" s="47">
        <f>SUM(I8:I94)</f>
        <v>69918.2896</v>
      </c>
      <c r="J115" s="47"/>
      <c r="K115" s="47">
        <f>SUM(K8:K94)</f>
        <v>231954.4044</v>
      </c>
      <c r="L115" s="47"/>
      <c r="M115" s="47">
        <f>SUM(M8:M112)</f>
        <v>23068.339</v>
      </c>
      <c r="N115" s="47"/>
      <c r="O115" s="47">
        <f>SUM(O8:O112)</f>
        <v>0</v>
      </c>
      <c r="P115" s="48"/>
      <c r="Q115" s="47">
        <f>SUM(Q8:Q112)</f>
        <v>19873.823</v>
      </c>
      <c r="R115" s="3"/>
      <c r="S115" s="44">
        <f>SUM(S8:S113)</f>
        <v>16552.52</v>
      </c>
      <c r="T115" s="47"/>
      <c r="U115" s="44">
        <f>SUM(U8:U89)</f>
        <v>15781.753</v>
      </c>
      <c r="V115" s="47"/>
      <c r="W115" s="47">
        <f>SUM(W8:W112)</f>
        <v>71894.96</v>
      </c>
      <c r="X115" s="49"/>
      <c r="Y115" s="47">
        <f>SUM(Y8:Y112)</f>
        <v>53636.46</v>
      </c>
      <c r="Z115" s="47"/>
      <c r="AA115" s="47">
        <f>SUM(AA8:AA89)</f>
        <v>0</v>
      </c>
      <c r="AB115" s="49">
        <v>1.0</v>
      </c>
      <c r="AC115" s="47">
        <f>SUM(AC8:AC89)</f>
        <v>28293.18</v>
      </c>
      <c r="AD115" s="47"/>
      <c r="AE115" s="47">
        <f>SUM(AE8:AE89)</f>
        <v>40934.01</v>
      </c>
      <c r="AF115" s="47"/>
      <c r="AG115" s="47">
        <f>SUM(AG8:AG78)</f>
        <v>74454.87</v>
      </c>
      <c r="AH115" s="47"/>
      <c r="AI115" s="47">
        <f>SUM(AI8:AI89)</f>
        <v>0</v>
      </c>
      <c r="AJ115" s="47"/>
      <c r="AK115" s="47">
        <f>SUM(AK8:AK95)</f>
        <v>34904.0676</v>
      </c>
      <c r="AL115" s="35"/>
      <c r="AM115" s="47">
        <f>SUM(AM8:AM89)</f>
        <v>134818.08</v>
      </c>
      <c r="AN115" s="47"/>
      <c r="AO115" s="47">
        <f>SUM(AO8:AO112)</f>
        <v>55774.126</v>
      </c>
      <c r="AP115" s="47"/>
      <c r="AQ115" s="47">
        <f>SUM(AQ8:AQ112)</f>
        <v>20674.612</v>
      </c>
      <c r="AR115" s="47"/>
      <c r="AS115" s="47">
        <f>SUM(AS8:AS112)</f>
        <v>43209.65</v>
      </c>
      <c r="AT115" s="47"/>
      <c r="AU115" s="47">
        <f>SUM(AU8:AU89)</f>
        <v>112708.614</v>
      </c>
      <c r="AV115" s="47"/>
      <c r="AW115" s="47">
        <f>SUM(AW8:AW89)</f>
        <v>33120.1</v>
      </c>
      <c r="AX115" s="47"/>
      <c r="AY115" s="47">
        <f>SUM(AY8:AY89)</f>
        <v>116432.735</v>
      </c>
      <c r="AZ115" s="47"/>
      <c r="BA115" s="47">
        <f>SUM(BA8:BA89)</f>
        <v>51678.7</v>
      </c>
      <c r="BB115" s="47"/>
      <c r="BC115" s="47">
        <f>SUM(BC8:BC89)</f>
        <v>124193.98</v>
      </c>
      <c r="BD115" s="47">
        <f>SUM(C115:BC115)</f>
        <v>2881192.672</v>
      </c>
    </row>
    <row r="116">
      <c r="A116" s="47"/>
      <c r="B116" s="47"/>
      <c r="C116" s="44"/>
      <c r="D116" s="47"/>
      <c r="E116" s="44"/>
      <c r="F116" s="47"/>
      <c r="G116" s="44"/>
      <c r="H116" s="47"/>
      <c r="I116" s="47"/>
      <c r="J116" s="47"/>
      <c r="K116" s="47"/>
      <c r="L116" s="47"/>
      <c r="M116" s="47"/>
      <c r="N116" s="47"/>
      <c r="O116" s="47"/>
      <c r="P116" s="48"/>
      <c r="Q116" s="47"/>
      <c r="R116" s="3"/>
      <c r="S116" s="44"/>
      <c r="T116" s="47"/>
      <c r="U116" s="44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35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58"/>
      <c r="BB116" s="47"/>
      <c r="BC116" s="47"/>
      <c r="BD116" s="47"/>
    </row>
    <row r="117">
      <c r="A117" s="59"/>
      <c r="B117" s="59" t="s">
        <v>151</v>
      </c>
      <c r="C117" s="44"/>
      <c r="D117" s="47"/>
      <c r="E117" s="44">
        <f>0.02*0.8*E115/1.22</f>
        <v>31.42908852</v>
      </c>
      <c r="F117" s="47"/>
      <c r="G117" s="44">
        <f>0.02*0.8*G115/1.22</f>
        <v>843.5618911</v>
      </c>
      <c r="H117" s="47"/>
      <c r="I117" s="47">
        <f>0.02*0.8*I115/1.22</f>
        <v>916.9611751</v>
      </c>
      <c r="J117" s="47"/>
      <c r="K117" s="47">
        <f>0.02*0.8*K115/1.22</f>
        <v>3042.024976</v>
      </c>
      <c r="L117" s="47"/>
      <c r="M117" s="47">
        <f>0.02*0.8*M115/1.22</f>
        <v>302.5355934</v>
      </c>
      <c r="N117" s="47"/>
      <c r="O117" s="47">
        <f>0.02*0.8*O115/1.22</f>
        <v>0</v>
      </c>
      <c r="P117" s="48"/>
      <c r="Q117" s="47">
        <f>0.02*0.8*Q115/1.22</f>
        <v>260.6403016</v>
      </c>
      <c r="R117" s="3"/>
      <c r="S117" s="44">
        <f>0.02*0.8*S115/1.22</f>
        <v>217.0822295</v>
      </c>
      <c r="T117" s="47"/>
      <c r="U117" s="44">
        <f>0.02*0.8*U115/1.22</f>
        <v>206.9738098</v>
      </c>
      <c r="V117" s="47"/>
      <c r="W117" s="47">
        <f>0.02*0.8*W115/1.22</f>
        <v>942.8847213</v>
      </c>
      <c r="X117" s="47"/>
      <c r="Y117" s="47">
        <f>0.02*0.8*Y115/1.22</f>
        <v>703.4289836</v>
      </c>
      <c r="Z117" s="47"/>
      <c r="AA117" s="47">
        <f>0.02*0.8*AA115/1.22</f>
        <v>0</v>
      </c>
      <c r="AB117" s="47"/>
      <c r="AC117" s="47">
        <f>0.02*0.8*AC115/1.22</f>
        <v>371.0580984</v>
      </c>
      <c r="AD117" s="47"/>
      <c r="AE117" s="47">
        <f>0.02*0.8*AE115/1.22</f>
        <v>536.8394754</v>
      </c>
      <c r="AF117" s="47"/>
      <c r="AG117" s="47">
        <f>0.02*0.8*AG115/1.22</f>
        <v>976.4573115</v>
      </c>
      <c r="AH117" s="47"/>
      <c r="AI117" s="47">
        <f>0.02*0.8*AI115/1.22</f>
        <v>0</v>
      </c>
      <c r="AJ117" s="47"/>
      <c r="AK117" s="47">
        <f>0.02*0.8*AK115/1.22</f>
        <v>457.7582636</v>
      </c>
      <c r="AL117" s="35"/>
      <c r="AM117" s="47">
        <f>0.02*0.8*AM115/1.22</f>
        <v>1768.105967</v>
      </c>
      <c r="AN117" s="47"/>
      <c r="AO117" s="47">
        <f>0.02*0.8*AO115/1.22</f>
        <v>731.4639475</v>
      </c>
      <c r="AP117" s="47"/>
      <c r="AQ117" s="47">
        <f>0.02*0.8*AQ115/1.22</f>
        <v>271.1424525</v>
      </c>
      <c r="AR117" s="47"/>
      <c r="AS117" s="47">
        <f>0.02*0.8*AS115/1.22</f>
        <v>566.6839344</v>
      </c>
      <c r="AT117" s="47"/>
      <c r="AU117" s="47">
        <f>0.02*0.8*AU115/1.22</f>
        <v>1478.145757</v>
      </c>
      <c r="AV117" s="47"/>
      <c r="AW117" s="47">
        <f>0.02*0.8*AW115/1.22</f>
        <v>434.3619672</v>
      </c>
      <c r="AX117" s="47"/>
      <c r="AY117" s="47">
        <f>0.02*0.8*AY115/1.22</f>
        <v>1526.986689</v>
      </c>
      <c r="AZ117" s="47"/>
      <c r="BA117" s="47">
        <f>0.02*0.8*BA115/1.22</f>
        <v>677.7534426</v>
      </c>
      <c r="BB117" s="47"/>
      <c r="BC117" s="47">
        <f>0.02*0.8*BC115/1.22</f>
        <v>1628.773508</v>
      </c>
      <c r="BD117" s="47"/>
    </row>
    <row r="118">
      <c r="C118" s="2"/>
      <c r="E118" s="2"/>
      <c r="G118" s="2"/>
      <c r="R118" s="3"/>
      <c r="S118" s="2"/>
      <c r="U118" s="2"/>
      <c r="BA118" s="4"/>
    </row>
    <row r="119">
      <c r="C119" s="2"/>
      <c r="E119" s="2"/>
      <c r="G119" s="2"/>
      <c r="R119" s="3"/>
      <c r="S119" s="44">
        <f>S115*1.22</f>
        <v>20194.0744</v>
      </c>
      <c r="U119" s="2"/>
      <c r="BA119" s="4"/>
    </row>
    <row r="120">
      <c r="C120" s="2"/>
      <c r="E120" s="2"/>
      <c r="G120" s="2"/>
      <c r="R120" s="3"/>
      <c r="S120" s="2"/>
      <c r="U120" s="2"/>
      <c r="BA120" s="4"/>
    </row>
    <row r="121" ht="15.75" customHeight="1">
      <c r="A121" s="60"/>
      <c r="B121" s="61" t="s">
        <v>152</v>
      </c>
      <c r="C121" s="2"/>
      <c r="E121" s="2"/>
      <c r="G121" s="2"/>
      <c r="R121" s="3"/>
      <c r="S121" s="2"/>
      <c r="U121" s="2"/>
      <c r="BA121" s="4"/>
    </row>
    <row r="122" ht="15.75" customHeight="1">
      <c r="A122" s="61" t="s">
        <v>153</v>
      </c>
      <c r="B122" s="62" t="s">
        <v>154</v>
      </c>
      <c r="C122" s="63" t="s">
        <v>155</v>
      </c>
      <c r="D122" s="27" t="s">
        <v>42</v>
      </c>
      <c r="E122" s="64" t="s">
        <v>156</v>
      </c>
      <c r="F122" s="27" t="s">
        <v>42</v>
      </c>
      <c r="G122" s="64" t="s">
        <v>156</v>
      </c>
      <c r="H122" s="27" t="s">
        <v>42</v>
      </c>
      <c r="I122" s="64" t="s">
        <v>156</v>
      </c>
      <c r="J122" s="27" t="s">
        <v>42</v>
      </c>
      <c r="K122" s="64" t="s">
        <v>156</v>
      </c>
      <c r="L122" s="27" t="s">
        <v>42</v>
      </c>
      <c r="M122" s="64" t="s">
        <v>156</v>
      </c>
      <c r="N122" s="27" t="s">
        <v>42</v>
      </c>
      <c r="O122" s="64" t="s">
        <v>156</v>
      </c>
      <c r="P122" s="27" t="s">
        <v>42</v>
      </c>
      <c r="Q122" s="64" t="s">
        <v>156</v>
      </c>
      <c r="R122" s="65" t="s">
        <v>42</v>
      </c>
      <c r="S122" s="64" t="s">
        <v>156</v>
      </c>
      <c r="T122" s="27" t="s">
        <v>42</v>
      </c>
      <c r="U122" s="64" t="s">
        <v>156</v>
      </c>
      <c r="V122" s="27" t="s">
        <v>42</v>
      </c>
      <c r="W122" s="64" t="s">
        <v>156</v>
      </c>
      <c r="X122" s="27" t="s">
        <v>42</v>
      </c>
      <c r="Y122" s="64" t="s">
        <v>156</v>
      </c>
      <c r="Z122" s="27" t="s">
        <v>42</v>
      </c>
      <c r="AA122" s="64" t="s">
        <v>156</v>
      </c>
      <c r="AB122" s="27" t="s">
        <v>42</v>
      </c>
      <c r="AC122" s="64" t="s">
        <v>156</v>
      </c>
      <c r="AD122" s="27" t="s">
        <v>42</v>
      </c>
      <c r="AE122" s="64" t="s">
        <v>156</v>
      </c>
      <c r="AF122" s="27" t="s">
        <v>42</v>
      </c>
      <c r="AG122" s="64" t="s">
        <v>156</v>
      </c>
      <c r="AH122" s="27" t="s">
        <v>42</v>
      </c>
      <c r="AI122" s="64" t="s">
        <v>156</v>
      </c>
      <c r="AJ122" s="27" t="s">
        <v>42</v>
      </c>
      <c r="AK122" s="64" t="s">
        <v>156</v>
      </c>
      <c r="AL122" s="27" t="s">
        <v>42</v>
      </c>
      <c r="AM122" s="64" t="s">
        <v>156</v>
      </c>
      <c r="AN122" s="27" t="s">
        <v>42</v>
      </c>
      <c r="AO122" s="64" t="s">
        <v>156</v>
      </c>
      <c r="AP122" s="27" t="s">
        <v>42</v>
      </c>
      <c r="AQ122" s="64" t="s">
        <v>156</v>
      </c>
      <c r="AR122" s="27" t="s">
        <v>42</v>
      </c>
      <c r="AS122" s="64" t="s">
        <v>156</v>
      </c>
      <c r="AT122" s="27" t="s">
        <v>42</v>
      </c>
      <c r="AU122" s="64" t="s">
        <v>156</v>
      </c>
      <c r="AV122" s="27" t="s">
        <v>42</v>
      </c>
      <c r="AW122" s="64" t="s">
        <v>156</v>
      </c>
      <c r="AX122" s="27" t="s">
        <v>42</v>
      </c>
      <c r="AY122" s="64" t="s">
        <v>156</v>
      </c>
      <c r="AZ122" s="27" t="s">
        <v>42</v>
      </c>
      <c r="BA122" s="64" t="s">
        <v>156</v>
      </c>
      <c r="BB122" s="27" t="s">
        <v>42</v>
      </c>
      <c r="BC122" s="64" t="s">
        <v>156</v>
      </c>
    </row>
    <row r="123" ht="15.75" customHeight="1">
      <c r="A123" s="66" t="s">
        <v>157</v>
      </c>
      <c r="B123" s="67" t="s">
        <v>158</v>
      </c>
      <c r="C123" s="68">
        <v>848.0</v>
      </c>
      <c r="D123" s="35">
        <v>1.0</v>
      </c>
      <c r="E123" s="38"/>
      <c r="G123" s="2"/>
      <c r="H123" s="35">
        <v>16.0</v>
      </c>
      <c r="I123" s="2"/>
      <c r="J123" s="35">
        <v>40.0</v>
      </c>
      <c r="K123" s="2"/>
      <c r="P123" s="35">
        <v>2.0</v>
      </c>
      <c r="Q123" s="69">
        <f t="shared" ref="Q123:Q132" si="67">$C123*P123</f>
        <v>1696</v>
      </c>
      <c r="R123" s="36">
        <v>2.0</v>
      </c>
      <c r="S123" s="2">
        <f t="shared" ref="S123:S132" si="68">$C123*R123</f>
        <v>1696</v>
      </c>
      <c r="T123" s="35">
        <v>3.0</v>
      </c>
      <c r="U123" s="2">
        <f t="shared" ref="U123:U132" si="69">$C123*T123</f>
        <v>2544</v>
      </c>
      <c r="V123" s="35">
        <v>8.0</v>
      </c>
      <c r="X123" s="35">
        <v>6.0</v>
      </c>
      <c r="AB123" s="35">
        <v>4.0</v>
      </c>
      <c r="AD123" s="35">
        <v>5.0</v>
      </c>
      <c r="AF123" s="35">
        <v>11.0</v>
      </c>
      <c r="AJ123" s="35">
        <v>4.0</v>
      </c>
      <c r="AK123" s="2"/>
      <c r="AL123" s="35">
        <v>16.0</v>
      </c>
      <c r="AT123" s="70">
        <v>9.0</v>
      </c>
      <c r="AV123" s="35">
        <v>4.0</v>
      </c>
      <c r="AX123" s="35">
        <v>10.0</v>
      </c>
      <c r="AY123" s="2"/>
      <c r="AZ123" s="35">
        <v>4.0</v>
      </c>
      <c r="BA123" s="4"/>
      <c r="BD123" s="34">
        <f>SUM(D123:P123,R123,T123,V123,X123,AB123,AD123,AF123,AJ123,AL123,AV123,AX123,AZ123)</f>
        <v>136</v>
      </c>
    </row>
    <row r="124" ht="15.75" customHeight="1">
      <c r="A124" s="66" t="s">
        <v>157</v>
      </c>
      <c r="B124" s="71" t="s">
        <v>159</v>
      </c>
      <c r="C124" s="68">
        <v>1500.0</v>
      </c>
      <c r="E124" s="2"/>
      <c r="G124" s="2"/>
      <c r="Q124" s="69">
        <f t="shared" si="67"/>
        <v>0</v>
      </c>
      <c r="R124" s="3"/>
      <c r="S124" s="2">
        <f t="shared" si="68"/>
        <v>0</v>
      </c>
      <c r="T124" s="35">
        <v>1.0</v>
      </c>
      <c r="U124" s="2">
        <f t="shared" si="69"/>
        <v>1500</v>
      </c>
      <c r="AT124" s="70">
        <v>3.0</v>
      </c>
      <c r="BA124" s="4"/>
    </row>
    <row r="125" ht="15.75" customHeight="1">
      <c r="A125" s="66" t="s">
        <v>157</v>
      </c>
      <c r="B125" s="72" t="s">
        <v>115</v>
      </c>
      <c r="C125" s="73">
        <v>1766.61</v>
      </c>
      <c r="D125" s="74"/>
      <c r="E125" s="75"/>
      <c r="F125" s="74"/>
      <c r="G125" s="73"/>
      <c r="H125" s="74"/>
      <c r="I125" s="73"/>
      <c r="J125" s="74"/>
      <c r="K125" s="73"/>
      <c r="L125" s="74"/>
      <c r="M125" s="73"/>
      <c r="N125" s="74"/>
      <c r="O125" s="74"/>
      <c r="P125" s="74"/>
      <c r="Q125" s="2">
        <f t="shared" si="67"/>
        <v>0</v>
      </c>
      <c r="R125" s="76"/>
      <c r="S125" s="2">
        <f t="shared" si="68"/>
        <v>0</v>
      </c>
      <c r="T125" s="74"/>
      <c r="U125" s="2">
        <f t="shared" si="69"/>
        <v>0</v>
      </c>
      <c r="V125" s="74"/>
      <c r="W125" s="73"/>
      <c r="X125" s="74"/>
      <c r="Y125" s="74"/>
      <c r="Z125" s="74"/>
      <c r="AA125" s="74"/>
      <c r="AB125" s="74"/>
      <c r="AC125" s="74"/>
      <c r="AD125" s="74"/>
      <c r="AE125" s="73"/>
      <c r="AF125" s="74"/>
      <c r="AG125" s="74"/>
      <c r="AH125" s="74"/>
      <c r="AI125" s="74"/>
      <c r="AJ125" s="77">
        <v>2.0</v>
      </c>
      <c r="AK125" s="73"/>
      <c r="AL125" s="74"/>
      <c r="AM125" s="73"/>
      <c r="AN125" s="74"/>
      <c r="AO125" s="74"/>
      <c r="AP125" s="74"/>
      <c r="AQ125" s="74"/>
      <c r="AR125" s="74"/>
      <c r="AS125" s="74"/>
      <c r="AT125" s="78">
        <v>1.0</v>
      </c>
      <c r="AU125" s="73"/>
      <c r="AV125" s="77">
        <v>1.0</v>
      </c>
      <c r="AW125" s="73"/>
      <c r="AX125" s="77">
        <v>2.0</v>
      </c>
      <c r="AY125" s="73"/>
      <c r="AZ125" s="77">
        <v>1.0</v>
      </c>
      <c r="BA125" s="79"/>
      <c r="BB125" s="74"/>
      <c r="BC125" s="74"/>
      <c r="BD125" s="74">
        <f>SUM(AJ125,AV125,AX125,AZ125)</f>
        <v>6</v>
      </c>
    </row>
    <row r="126" ht="15.75" customHeight="1">
      <c r="A126" s="66" t="s">
        <v>157</v>
      </c>
      <c r="B126" s="67" t="s">
        <v>160</v>
      </c>
      <c r="C126" s="68">
        <v>30000.0</v>
      </c>
      <c r="E126" s="2"/>
      <c r="G126" s="2"/>
      <c r="Q126" s="69">
        <f t="shared" si="67"/>
        <v>0</v>
      </c>
      <c r="R126" s="3"/>
      <c r="S126" s="2">
        <f t="shared" si="68"/>
        <v>0</v>
      </c>
      <c r="U126" s="2">
        <f t="shared" si="69"/>
        <v>0</v>
      </c>
      <c r="AT126" s="70">
        <v>1.0</v>
      </c>
      <c r="BA126" s="4"/>
    </row>
    <row r="127" ht="15.75" customHeight="1">
      <c r="A127" s="66" t="s">
        <v>157</v>
      </c>
      <c r="B127" s="67" t="s">
        <v>161</v>
      </c>
      <c r="C127" s="68">
        <v>1200.0</v>
      </c>
      <c r="E127" s="2"/>
      <c r="G127" s="2"/>
      <c r="Q127" s="69">
        <f t="shared" si="67"/>
        <v>0</v>
      </c>
      <c r="R127" s="3"/>
      <c r="S127" s="2">
        <f t="shared" si="68"/>
        <v>0</v>
      </c>
      <c r="T127" s="35">
        <v>1.0</v>
      </c>
      <c r="U127" s="2">
        <f t="shared" si="69"/>
        <v>1200</v>
      </c>
      <c r="AT127" s="70">
        <v>2.0</v>
      </c>
      <c r="BA127" s="4"/>
    </row>
    <row r="128" ht="15.75" customHeight="1">
      <c r="A128" s="66" t="s">
        <v>157</v>
      </c>
      <c r="B128" s="67" t="s">
        <v>162</v>
      </c>
      <c r="C128" s="68">
        <v>3000.0</v>
      </c>
      <c r="E128" s="2"/>
      <c r="F128" s="80">
        <v>1.0</v>
      </c>
      <c r="G128" s="81" t="s">
        <v>163</v>
      </c>
      <c r="P128" s="35">
        <v>1.0</v>
      </c>
      <c r="Q128" s="69">
        <f t="shared" si="67"/>
        <v>3000</v>
      </c>
      <c r="R128" s="3"/>
      <c r="S128" s="2">
        <f t="shared" si="68"/>
        <v>0</v>
      </c>
      <c r="T128" s="35">
        <v>1.0</v>
      </c>
      <c r="U128" s="2">
        <f t="shared" si="69"/>
        <v>3000</v>
      </c>
      <c r="AT128" s="70">
        <v>3.0</v>
      </c>
      <c r="BA128" s="4"/>
      <c r="BD128" s="34">
        <f>SUM(P128)</f>
        <v>1</v>
      </c>
    </row>
    <row r="129" ht="15.75" customHeight="1">
      <c r="A129" s="66" t="s">
        <v>164</v>
      </c>
      <c r="B129" s="67" t="s">
        <v>165</v>
      </c>
      <c r="C129" s="68">
        <v>3000.0</v>
      </c>
      <c r="E129" s="2"/>
      <c r="G129" s="2"/>
      <c r="Q129" s="69">
        <f t="shared" si="67"/>
        <v>0</v>
      </c>
      <c r="R129" s="3"/>
      <c r="S129" s="2">
        <f t="shared" si="68"/>
        <v>0</v>
      </c>
      <c r="U129" s="2">
        <f t="shared" si="69"/>
        <v>0</v>
      </c>
      <c r="AT129" s="70">
        <v>1.0</v>
      </c>
      <c r="BA129" s="4"/>
    </row>
    <row r="130" ht="15.75" customHeight="1">
      <c r="A130" s="66" t="s">
        <v>164</v>
      </c>
      <c r="B130" s="67" t="s">
        <v>166</v>
      </c>
      <c r="C130" s="68">
        <v>1600.0</v>
      </c>
      <c r="E130" s="2"/>
      <c r="G130" s="2"/>
      <c r="Q130" s="69">
        <f t="shared" si="67"/>
        <v>0</v>
      </c>
      <c r="R130" s="3"/>
      <c r="S130" s="2">
        <f t="shared" si="68"/>
        <v>0</v>
      </c>
      <c r="U130" s="2">
        <f t="shared" si="69"/>
        <v>0</v>
      </c>
      <c r="BA130" s="4"/>
    </row>
    <row r="131" ht="15.75" customHeight="1">
      <c r="A131" s="66" t="s">
        <v>167</v>
      </c>
      <c r="B131" s="67" t="s">
        <v>168</v>
      </c>
      <c r="C131" s="68">
        <v>20000.0</v>
      </c>
      <c r="E131" s="2"/>
      <c r="G131" s="2"/>
      <c r="Q131" s="69">
        <f t="shared" si="67"/>
        <v>0</v>
      </c>
      <c r="R131" s="3"/>
      <c r="S131" s="2">
        <f t="shared" si="68"/>
        <v>0</v>
      </c>
      <c r="U131" s="2">
        <f t="shared" si="69"/>
        <v>0</v>
      </c>
      <c r="BA131" s="4"/>
    </row>
    <row r="132" ht="15.75" customHeight="1">
      <c r="A132" s="66" t="s">
        <v>169</v>
      </c>
      <c r="B132" s="67" t="s">
        <v>162</v>
      </c>
      <c r="C132" s="68">
        <v>3000.0</v>
      </c>
      <c r="E132" s="2"/>
      <c r="G132" s="2"/>
      <c r="Q132" s="69">
        <f t="shared" si="67"/>
        <v>0</v>
      </c>
      <c r="R132" s="3"/>
      <c r="S132" s="2">
        <f t="shared" si="68"/>
        <v>0</v>
      </c>
      <c r="U132" s="2">
        <f t="shared" si="69"/>
        <v>0</v>
      </c>
      <c r="BA132" s="4"/>
    </row>
    <row r="133">
      <c r="B133" s="70" t="s">
        <v>170</v>
      </c>
      <c r="R133" s="3"/>
      <c r="S133" s="2"/>
      <c r="U133" s="2"/>
      <c r="AT133" s="70">
        <v>1.0</v>
      </c>
    </row>
    <row r="134" ht="15.75" customHeight="1">
      <c r="A134" s="66"/>
      <c r="B134" s="67"/>
      <c r="C134" s="68"/>
      <c r="E134" s="2"/>
      <c r="G134" s="2"/>
      <c r="P134" s="3"/>
      <c r="Q134" s="44">
        <f>SUM(Q123:Q132)</f>
        <v>4696</v>
      </c>
      <c r="R134" s="3"/>
      <c r="S134" s="44">
        <f>SUM(S123:S132)</f>
        <v>1696</v>
      </c>
      <c r="U134" s="44">
        <f>SUM(U123:U132)</f>
        <v>8244</v>
      </c>
      <c r="BA134" s="4"/>
    </row>
    <row r="135" ht="15.75" customHeight="1">
      <c r="A135" s="66"/>
      <c r="B135" s="67"/>
      <c r="C135" s="68"/>
      <c r="E135" s="2"/>
      <c r="G135" s="2"/>
      <c r="P135" s="3"/>
      <c r="Q135" s="2"/>
      <c r="R135" s="3"/>
      <c r="S135" s="2"/>
      <c r="U135" s="2"/>
      <c r="BA135" s="4"/>
    </row>
    <row r="136" ht="15.75" customHeight="1">
      <c r="A136" s="66"/>
      <c r="B136" s="67"/>
      <c r="C136" s="68"/>
      <c r="E136" s="2"/>
      <c r="G136" s="2"/>
      <c r="P136" s="36" t="s">
        <v>171</v>
      </c>
      <c r="Q136" s="44">
        <f>Q134+Q115</f>
        <v>24569.823</v>
      </c>
      <c r="R136" s="36" t="s">
        <v>171</v>
      </c>
      <c r="S136" s="44">
        <f>S134+S115</f>
        <v>18248.52</v>
      </c>
      <c r="T136" s="35" t="s">
        <v>171</v>
      </c>
      <c r="U136" s="44">
        <f>U134+U115</f>
        <v>24025.753</v>
      </c>
      <c r="BA136" s="4"/>
    </row>
    <row r="137" ht="15.75" customHeight="1">
      <c r="A137" s="66"/>
      <c r="B137" s="67"/>
      <c r="C137" s="68"/>
      <c r="E137" s="2"/>
      <c r="G137" s="2"/>
      <c r="R137" s="3"/>
      <c r="S137" s="2"/>
      <c r="U137" s="2"/>
      <c r="BA137" s="4"/>
    </row>
    <row r="138" ht="15.75" customHeight="1">
      <c r="A138" s="66"/>
      <c r="B138" s="67"/>
      <c r="C138" s="68"/>
      <c r="E138" s="2"/>
      <c r="G138" s="2"/>
      <c r="R138" s="3"/>
      <c r="S138" s="2"/>
      <c r="U138" s="2"/>
      <c r="BA138" s="4"/>
    </row>
    <row r="139" ht="15.75" customHeight="1">
      <c r="B139" s="66"/>
      <c r="C139" s="2"/>
      <c r="E139" s="2"/>
      <c r="G139" s="2"/>
      <c r="R139" s="3"/>
      <c r="S139" s="2"/>
      <c r="U139" s="2"/>
      <c r="BA139" s="4"/>
    </row>
    <row r="140" ht="15.75" customHeight="1">
      <c r="A140" s="66"/>
      <c r="B140" s="66"/>
      <c r="C140" s="2"/>
      <c r="E140" s="2"/>
      <c r="G140" s="2"/>
      <c r="R140" s="3"/>
      <c r="S140" s="2"/>
      <c r="U140" s="2"/>
      <c r="BA140" s="4"/>
    </row>
    <row r="141" ht="15.75" customHeight="1">
      <c r="C141" s="2"/>
      <c r="E141" s="2"/>
      <c r="G141" s="2"/>
      <c r="R141" s="3"/>
      <c r="S141" s="2"/>
      <c r="U141" s="2"/>
      <c r="BA141" s="4"/>
    </row>
    <row r="142" ht="15.75" customHeight="1">
      <c r="C142" s="2"/>
      <c r="E142" s="2"/>
      <c r="G142" s="2"/>
      <c r="R142" s="3"/>
      <c r="S142" s="2"/>
      <c r="U142" s="2"/>
      <c r="BA142" s="4"/>
    </row>
    <row r="143" ht="15.75" customHeight="1">
      <c r="C143" s="2"/>
      <c r="E143" s="2"/>
      <c r="G143" s="2"/>
      <c r="R143" s="3"/>
      <c r="S143" s="2"/>
      <c r="U143" s="2"/>
      <c r="BA143" s="4"/>
    </row>
    <row r="144" ht="15.75" customHeight="1">
      <c r="C144" s="2"/>
      <c r="E144" s="2"/>
      <c r="G144" s="2"/>
      <c r="R144" s="3"/>
      <c r="S144" s="2"/>
      <c r="U144" s="2"/>
      <c r="BA144" s="4"/>
    </row>
    <row r="145" ht="15.75" customHeight="1">
      <c r="C145" s="2"/>
      <c r="E145" s="2"/>
      <c r="G145" s="2"/>
      <c r="R145" s="3"/>
      <c r="S145" s="2"/>
      <c r="U145" s="2"/>
      <c r="BA145" s="4"/>
    </row>
    <row r="146" ht="15.75" customHeight="1">
      <c r="C146" s="2"/>
      <c r="E146" s="2"/>
      <c r="G146" s="2"/>
      <c r="R146" s="3"/>
      <c r="S146" s="2"/>
      <c r="U146" s="2"/>
      <c r="BA146" s="4"/>
    </row>
    <row r="147" ht="15.75" customHeight="1">
      <c r="C147" s="2"/>
      <c r="E147" s="2"/>
      <c r="G147" s="2"/>
      <c r="R147" s="3"/>
      <c r="S147" s="2"/>
      <c r="U147" s="2"/>
      <c r="BA147" s="4"/>
    </row>
    <row r="148" ht="15.75" customHeight="1">
      <c r="C148" s="2"/>
      <c r="E148" s="2"/>
      <c r="G148" s="2"/>
      <c r="R148" s="3"/>
      <c r="S148" s="2"/>
      <c r="U148" s="2"/>
      <c r="BA148" s="4"/>
    </row>
    <row r="149" ht="15.75" customHeight="1">
      <c r="C149" s="2"/>
      <c r="E149" s="2"/>
      <c r="G149" s="2"/>
      <c r="R149" s="3"/>
      <c r="S149" s="2"/>
      <c r="U149" s="2"/>
      <c r="BA149" s="4"/>
    </row>
    <row r="150" ht="15.75" customHeight="1">
      <c r="C150" s="2"/>
      <c r="E150" s="2"/>
      <c r="G150" s="2"/>
      <c r="R150" s="3"/>
      <c r="S150" s="2"/>
      <c r="U150" s="2"/>
      <c r="BA150" s="4"/>
    </row>
    <row r="151" ht="15.75" customHeight="1">
      <c r="C151" s="2"/>
      <c r="E151" s="2"/>
      <c r="G151" s="2"/>
      <c r="R151" s="3"/>
      <c r="S151" s="2"/>
      <c r="U151" s="2"/>
      <c r="BA151" s="4"/>
    </row>
    <row r="152" ht="15.75" customHeight="1">
      <c r="C152" s="2"/>
      <c r="E152" s="2"/>
      <c r="G152" s="2"/>
      <c r="R152" s="3"/>
      <c r="S152" s="2"/>
      <c r="U152" s="2"/>
      <c r="BA152" s="4"/>
    </row>
    <row r="153" ht="15.75" customHeight="1">
      <c r="C153" s="2"/>
      <c r="E153" s="2"/>
      <c r="G153" s="2"/>
      <c r="R153" s="3"/>
      <c r="S153" s="2"/>
      <c r="U153" s="2"/>
      <c r="BA153" s="4"/>
    </row>
    <row r="154" ht="15.75" customHeight="1">
      <c r="C154" s="2"/>
      <c r="E154" s="2"/>
      <c r="G154" s="2"/>
      <c r="R154" s="3"/>
      <c r="S154" s="2"/>
      <c r="U154" s="2"/>
      <c r="BA154" s="4"/>
    </row>
    <row r="155" ht="15.75" customHeight="1">
      <c r="C155" s="2"/>
      <c r="E155" s="2"/>
      <c r="G155" s="2"/>
      <c r="R155" s="3"/>
      <c r="S155" s="2"/>
      <c r="U155" s="2"/>
      <c r="BA155" s="4"/>
    </row>
    <row r="156" ht="15.75" customHeight="1">
      <c r="C156" s="2"/>
      <c r="E156" s="2"/>
      <c r="G156" s="2"/>
      <c r="R156" s="3"/>
      <c r="S156" s="2"/>
      <c r="U156" s="2"/>
      <c r="BA156" s="4"/>
    </row>
    <row r="157" ht="15.75" customHeight="1">
      <c r="C157" s="2"/>
      <c r="E157" s="2"/>
      <c r="G157" s="2"/>
      <c r="R157" s="3"/>
      <c r="S157" s="2"/>
      <c r="U157" s="2"/>
      <c r="BA157" s="4"/>
    </row>
    <row r="158" ht="15.75" customHeight="1">
      <c r="C158" s="2"/>
      <c r="E158" s="2"/>
      <c r="G158" s="2"/>
      <c r="R158" s="3"/>
      <c r="S158" s="2"/>
      <c r="U158" s="2"/>
      <c r="BA158" s="4"/>
    </row>
    <row r="159" ht="15.75" customHeight="1">
      <c r="C159" s="2"/>
      <c r="E159" s="2"/>
      <c r="G159" s="2"/>
      <c r="R159" s="3"/>
      <c r="S159" s="2"/>
      <c r="U159" s="2"/>
      <c r="BA159" s="4"/>
    </row>
    <row r="160" ht="15.75" customHeight="1">
      <c r="C160" s="2"/>
      <c r="E160" s="2"/>
      <c r="G160" s="2"/>
      <c r="R160" s="3"/>
      <c r="S160" s="2"/>
      <c r="U160" s="2"/>
      <c r="BA160" s="4"/>
    </row>
    <row r="161" ht="15.75" customHeight="1">
      <c r="C161" s="2"/>
      <c r="E161" s="2"/>
      <c r="G161" s="2"/>
      <c r="R161" s="3"/>
      <c r="S161" s="2"/>
      <c r="U161" s="2"/>
      <c r="BA161" s="4"/>
    </row>
    <row r="162" ht="15.75" customHeight="1">
      <c r="C162" s="2"/>
      <c r="E162" s="2"/>
      <c r="G162" s="2"/>
      <c r="R162" s="3"/>
      <c r="S162" s="2"/>
      <c r="U162" s="2"/>
      <c r="BA162" s="4"/>
    </row>
    <row r="163" ht="15.75" customHeight="1">
      <c r="C163" s="2"/>
      <c r="E163" s="2"/>
      <c r="G163" s="2"/>
      <c r="R163" s="3"/>
      <c r="S163" s="2"/>
      <c r="U163" s="2"/>
      <c r="BA163" s="4"/>
    </row>
    <row r="164" ht="15.75" customHeight="1">
      <c r="C164" s="2"/>
      <c r="E164" s="2"/>
      <c r="G164" s="2"/>
      <c r="R164" s="3"/>
      <c r="S164" s="2"/>
      <c r="U164" s="2"/>
      <c r="BA164" s="4"/>
    </row>
    <row r="165" ht="15.75" customHeight="1">
      <c r="C165" s="2"/>
      <c r="E165" s="2"/>
      <c r="G165" s="2"/>
      <c r="R165" s="3"/>
      <c r="S165" s="2"/>
      <c r="U165" s="2"/>
      <c r="BA165" s="4"/>
    </row>
    <row r="166" ht="15.75" customHeight="1">
      <c r="C166" s="2"/>
      <c r="E166" s="2"/>
      <c r="G166" s="2"/>
      <c r="R166" s="3"/>
      <c r="S166" s="2"/>
      <c r="U166" s="2"/>
      <c r="BA166" s="4"/>
    </row>
    <row r="167" ht="15.75" customHeight="1">
      <c r="C167" s="2"/>
      <c r="E167" s="2"/>
      <c r="G167" s="2"/>
      <c r="R167" s="3"/>
      <c r="S167" s="2"/>
      <c r="U167" s="2"/>
      <c r="BA167" s="4"/>
    </row>
    <row r="168" ht="15.75" customHeight="1">
      <c r="C168" s="2"/>
      <c r="E168" s="2"/>
      <c r="G168" s="2"/>
      <c r="R168" s="3"/>
      <c r="S168" s="2"/>
      <c r="U168" s="2"/>
      <c r="BA168" s="4"/>
    </row>
    <row r="169" ht="15.75" customHeight="1">
      <c r="C169" s="2"/>
      <c r="E169" s="2"/>
      <c r="G169" s="2"/>
      <c r="R169" s="3"/>
      <c r="S169" s="2"/>
      <c r="U169" s="2"/>
      <c r="BA169" s="4"/>
    </row>
    <row r="170" ht="15.75" customHeight="1">
      <c r="C170" s="2"/>
      <c r="E170" s="2"/>
      <c r="G170" s="2"/>
      <c r="R170" s="3"/>
      <c r="S170" s="2"/>
      <c r="U170" s="2"/>
      <c r="BA170" s="4"/>
    </row>
    <row r="171" ht="15.75" customHeight="1">
      <c r="C171" s="2"/>
      <c r="E171" s="2"/>
      <c r="G171" s="2"/>
      <c r="R171" s="3"/>
      <c r="S171" s="2"/>
      <c r="U171" s="2"/>
      <c r="BA171" s="4"/>
    </row>
    <row r="172" ht="15.75" customHeight="1">
      <c r="C172" s="2"/>
      <c r="E172" s="2"/>
      <c r="G172" s="2"/>
      <c r="R172" s="3"/>
      <c r="S172" s="2"/>
      <c r="U172" s="2"/>
      <c r="BA172" s="4"/>
    </row>
    <row r="173" ht="15.75" customHeight="1">
      <c r="C173" s="2"/>
      <c r="E173" s="2"/>
      <c r="G173" s="2"/>
      <c r="R173" s="3"/>
      <c r="S173" s="2"/>
      <c r="U173" s="2"/>
      <c r="BA173" s="4"/>
    </row>
    <row r="174" ht="15.75" customHeight="1">
      <c r="C174" s="2"/>
      <c r="E174" s="2"/>
      <c r="G174" s="2"/>
      <c r="R174" s="3"/>
      <c r="S174" s="2"/>
      <c r="U174" s="2"/>
      <c r="BA174" s="4"/>
    </row>
    <row r="175" ht="15.75" customHeight="1">
      <c r="C175" s="2"/>
      <c r="E175" s="2"/>
      <c r="G175" s="2"/>
      <c r="R175" s="3"/>
      <c r="S175" s="2"/>
      <c r="U175" s="2"/>
      <c r="BA175" s="4"/>
    </row>
    <row r="176" ht="15.75" customHeight="1">
      <c r="C176" s="2"/>
      <c r="E176" s="2"/>
      <c r="G176" s="2"/>
      <c r="R176" s="3"/>
      <c r="S176" s="2"/>
      <c r="U176" s="2"/>
      <c r="BA176" s="4"/>
    </row>
    <row r="177" ht="15.75" customHeight="1">
      <c r="C177" s="2"/>
      <c r="E177" s="2"/>
      <c r="G177" s="2"/>
      <c r="R177" s="3"/>
      <c r="S177" s="2"/>
      <c r="U177" s="2"/>
      <c r="BA177" s="4"/>
    </row>
    <row r="178" ht="15.75" customHeight="1">
      <c r="C178" s="2"/>
      <c r="E178" s="2"/>
      <c r="G178" s="2"/>
      <c r="R178" s="3"/>
      <c r="S178" s="2"/>
      <c r="U178" s="2"/>
      <c r="BA178" s="4"/>
    </row>
    <row r="179" ht="15.75" customHeight="1">
      <c r="C179" s="2"/>
      <c r="E179" s="2"/>
      <c r="G179" s="2"/>
      <c r="R179" s="3"/>
      <c r="S179" s="2"/>
      <c r="U179" s="2"/>
      <c r="BA179" s="4"/>
    </row>
    <row r="180" ht="15.75" customHeight="1">
      <c r="C180" s="2"/>
      <c r="E180" s="2"/>
      <c r="G180" s="2"/>
      <c r="R180" s="3"/>
      <c r="S180" s="2"/>
      <c r="U180" s="2"/>
      <c r="BA180" s="4"/>
    </row>
    <row r="181" ht="15.75" customHeight="1">
      <c r="C181" s="2"/>
      <c r="E181" s="2"/>
      <c r="G181" s="2"/>
      <c r="R181" s="3"/>
      <c r="S181" s="2"/>
      <c r="U181" s="2"/>
      <c r="BA181" s="4"/>
    </row>
    <row r="182" ht="15.75" customHeight="1">
      <c r="C182" s="2"/>
      <c r="E182" s="2"/>
      <c r="G182" s="2"/>
      <c r="R182" s="3"/>
      <c r="S182" s="2"/>
      <c r="U182" s="2"/>
      <c r="BA182" s="4"/>
    </row>
    <row r="183" ht="15.75" customHeight="1">
      <c r="C183" s="2"/>
      <c r="E183" s="2"/>
      <c r="G183" s="2"/>
      <c r="R183" s="3"/>
      <c r="S183" s="2"/>
      <c r="U183" s="2"/>
      <c r="BA183" s="4"/>
    </row>
    <row r="184" ht="15.75" customHeight="1">
      <c r="C184" s="2"/>
      <c r="E184" s="2"/>
      <c r="G184" s="2"/>
      <c r="R184" s="3"/>
      <c r="S184" s="2"/>
      <c r="U184" s="2"/>
      <c r="BA184" s="4"/>
    </row>
    <row r="185" ht="15.75" customHeight="1">
      <c r="C185" s="2"/>
      <c r="E185" s="2"/>
      <c r="G185" s="2"/>
      <c r="R185" s="3"/>
      <c r="S185" s="2"/>
      <c r="U185" s="2"/>
      <c r="BA185" s="4"/>
    </row>
    <row r="186" ht="15.75" customHeight="1">
      <c r="C186" s="2"/>
      <c r="E186" s="2"/>
      <c r="G186" s="2"/>
      <c r="R186" s="3"/>
      <c r="S186" s="2"/>
      <c r="U186" s="2"/>
      <c r="BA186" s="4"/>
    </row>
    <row r="187" ht="15.75" customHeight="1">
      <c r="C187" s="2"/>
      <c r="E187" s="2"/>
      <c r="G187" s="2"/>
      <c r="R187" s="3"/>
      <c r="S187" s="2"/>
      <c r="U187" s="2"/>
      <c r="BA187" s="4"/>
    </row>
    <row r="188" ht="15.75" customHeight="1">
      <c r="C188" s="2"/>
      <c r="E188" s="2"/>
      <c r="G188" s="2"/>
      <c r="R188" s="3"/>
      <c r="S188" s="2"/>
      <c r="U188" s="2"/>
      <c r="BA188" s="4"/>
    </row>
    <row r="189" ht="15.75" customHeight="1">
      <c r="C189" s="2"/>
      <c r="E189" s="2"/>
      <c r="G189" s="2"/>
      <c r="R189" s="3"/>
      <c r="S189" s="2"/>
      <c r="U189" s="2"/>
      <c r="BA189" s="4"/>
    </row>
    <row r="190" ht="15.75" customHeight="1">
      <c r="C190" s="2"/>
      <c r="E190" s="2"/>
      <c r="G190" s="2"/>
      <c r="R190" s="3"/>
      <c r="S190" s="2"/>
      <c r="U190" s="2"/>
      <c r="BA190" s="4"/>
    </row>
    <row r="191" ht="15.75" customHeight="1">
      <c r="C191" s="2"/>
      <c r="E191" s="2"/>
      <c r="G191" s="2"/>
      <c r="R191" s="3"/>
      <c r="S191" s="2"/>
      <c r="U191" s="2"/>
      <c r="BA191" s="4"/>
    </row>
    <row r="192" ht="15.75" customHeight="1">
      <c r="C192" s="2"/>
      <c r="E192" s="2"/>
      <c r="G192" s="2"/>
      <c r="R192" s="3"/>
      <c r="S192" s="2"/>
      <c r="U192" s="2"/>
      <c r="BA192" s="4"/>
    </row>
    <row r="193" ht="15.75" customHeight="1">
      <c r="C193" s="2"/>
      <c r="E193" s="2"/>
      <c r="G193" s="2"/>
      <c r="R193" s="3"/>
      <c r="S193" s="2"/>
      <c r="U193" s="2"/>
      <c r="BA193" s="4"/>
    </row>
    <row r="194" ht="15.75" customHeight="1">
      <c r="C194" s="2"/>
      <c r="E194" s="2"/>
      <c r="G194" s="2"/>
      <c r="R194" s="3"/>
      <c r="S194" s="2"/>
      <c r="U194" s="2"/>
      <c r="BA194" s="4"/>
    </row>
    <row r="195" ht="15.75" customHeight="1">
      <c r="C195" s="2"/>
      <c r="E195" s="2"/>
      <c r="G195" s="2"/>
      <c r="R195" s="3"/>
      <c r="S195" s="2"/>
      <c r="U195" s="2"/>
      <c r="BA195" s="4"/>
    </row>
    <row r="196" ht="15.75" customHeight="1">
      <c r="C196" s="2"/>
      <c r="E196" s="2"/>
      <c r="G196" s="2"/>
      <c r="R196" s="3"/>
      <c r="S196" s="2"/>
      <c r="U196" s="2"/>
      <c r="BA196" s="4"/>
    </row>
    <row r="197" ht="15.75" customHeight="1">
      <c r="C197" s="2"/>
      <c r="E197" s="2"/>
      <c r="G197" s="2"/>
      <c r="R197" s="3"/>
      <c r="S197" s="2"/>
      <c r="U197" s="2"/>
      <c r="BA197" s="4"/>
    </row>
    <row r="198" ht="15.75" customHeight="1">
      <c r="C198" s="2"/>
      <c r="E198" s="2"/>
      <c r="G198" s="2"/>
      <c r="R198" s="3"/>
      <c r="S198" s="2"/>
      <c r="U198" s="2"/>
      <c r="BA198" s="4"/>
    </row>
    <row r="199" ht="15.75" customHeight="1">
      <c r="C199" s="2"/>
      <c r="E199" s="2"/>
      <c r="G199" s="2"/>
      <c r="R199" s="3"/>
      <c r="S199" s="2"/>
      <c r="U199" s="2"/>
      <c r="BA199" s="4"/>
    </row>
    <row r="200" ht="15.75" customHeight="1">
      <c r="C200" s="2"/>
      <c r="E200" s="2"/>
      <c r="G200" s="2"/>
      <c r="R200" s="3"/>
      <c r="S200" s="2"/>
      <c r="U200" s="2"/>
      <c r="BA200" s="4"/>
    </row>
    <row r="201" ht="15.75" customHeight="1">
      <c r="C201" s="2"/>
      <c r="E201" s="2"/>
      <c r="G201" s="2"/>
      <c r="R201" s="3"/>
      <c r="S201" s="2"/>
      <c r="U201" s="2"/>
      <c r="BA201" s="4"/>
    </row>
    <row r="202" ht="15.75" customHeight="1">
      <c r="C202" s="2"/>
      <c r="E202" s="2"/>
      <c r="G202" s="2"/>
      <c r="R202" s="3"/>
      <c r="S202" s="2"/>
      <c r="U202" s="2"/>
      <c r="BA202" s="4"/>
    </row>
    <row r="203" ht="15.75" customHeight="1">
      <c r="C203" s="2"/>
      <c r="E203" s="2"/>
      <c r="G203" s="2"/>
      <c r="R203" s="3"/>
      <c r="S203" s="2"/>
      <c r="U203" s="2"/>
      <c r="BA203" s="4"/>
    </row>
    <row r="204" ht="15.75" customHeight="1">
      <c r="C204" s="2"/>
      <c r="E204" s="2"/>
      <c r="G204" s="2"/>
      <c r="R204" s="3"/>
      <c r="S204" s="2"/>
      <c r="U204" s="2"/>
      <c r="BA204" s="4"/>
    </row>
    <row r="205" ht="15.75" customHeight="1">
      <c r="C205" s="2"/>
      <c r="E205" s="2"/>
      <c r="G205" s="2"/>
      <c r="R205" s="3"/>
      <c r="S205" s="2"/>
      <c r="U205" s="2"/>
      <c r="BA205" s="4"/>
    </row>
    <row r="206" ht="15.75" customHeight="1">
      <c r="C206" s="2"/>
      <c r="E206" s="2"/>
      <c r="G206" s="2"/>
      <c r="R206" s="3"/>
      <c r="S206" s="2"/>
      <c r="U206" s="2"/>
      <c r="BA206" s="4"/>
    </row>
    <row r="207" ht="15.75" customHeight="1">
      <c r="C207" s="2"/>
      <c r="E207" s="2"/>
      <c r="G207" s="2"/>
      <c r="R207" s="3"/>
      <c r="S207" s="2"/>
      <c r="U207" s="2"/>
      <c r="BA207" s="4"/>
    </row>
    <row r="208" ht="15.75" customHeight="1">
      <c r="C208" s="2"/>
      <c r="E208" s="2"/>
      <c r="G208" s="2"/>
      <c r="R208" s="3"/>
      <c r="S208" s="2"/>
      <c r="U208" s="2"/>
      <c r="BA208" s="4"/>
    </row>
    <row r="209" ht="15.75" customHeight="1">
      <c r="C209" s="2"/>
      <c r="E209" s="2"/>
      <c r="G209" s="2"/>
      <c r="R209" s="3"/>
      <c r="S209" s="2"/>
      <c r="U209" s="2"/>
      <c r="BA209" s="4"/>
    </row>
    <row r="210" ht="15.75" customHeight="1">
      <c r="C210" s="2"/>
      <c r="E210" s="2"/>
      <c r="G210" s="2"/>
      <c r="R210" s="3"/>
      <c r="S210" s="2"/>
      <c r="U210" s="2"/>
      <c r="BA210" s="4"/>
    </row>
    <row r="211" ht="15.75" customHeight="1">
      <c r="C211" s="2"/>
      <c r="E211" s="2"/>
      <c r="G211" s="2"/>
      <c r="R211" s="3"/>
      <c r="S211" s="2"/>
      <c r="U211" s="2"/>
      <c r="BA211" s="4"/>
    </row>
    <row r="212" ht="15.75" customHeight="1">
      <c r="C212" s="2"/>
      <c r="E212" s="2"/>
      <c r="G212" s="2"/>
      <c r="R212" s="3"/>
      <c r="S212" s="2"/>
      <c r="U212" s="2"/>
      <c r="BA212" s="4"/>
    </row>
    <row r="213" ht="15.75" customHeight="1">
      <c r="C213" s="2"/>
      <c r="E213" s="2"/>
      <c r="G213" s="2"/>
      <c r="R213" s="3"/>
      <c r="S213" s="2"/>
      <c r="U213" s="2"/>
      <c r="BA213" s="4"/>
    </row>
    <row r="214" ht="15.75" customHeight="1">
      <c r="C214" s="2"/>
      <c r="E214" s="2"/>
      <c r="G214" s="2"/>
      <c r="R214" s="3"/>
      <c r="S214" s="2"/>
      <c r="U214" s="2"/>
      <c r="BA214" s="4"/>
    </row>
    <row r="215" ht="15.75" customHeight="1">
      <c r="C215" s="2"/>
      <c r="E215" s="2"/>
      <c r="G215" s="2"/>
      <c r="R215" s="3"/>
      <c r="S215" s="2"/>
      <c r="U215" s="2"/>
      <c r="BA215" s="4"/>
    </row>
    <row r="216" ht="15.75" customHeight="1">
      <c r="C216" s="2"/>
      <c r="E216" s="2"/>
      <c r="G216" s="2"/>
      <c r="R216" s="3"/>
      <c r="S216" s="2"/>
      <c r="U216" s="2"/>
      <c r="BA216" s="4"/>
    </row>
    <row r="217" ht="15.75" customHeight="1">
      <c r="C217" s="2"/>
      <c r="E217" s="2"/>
      <c r="G217" s="2"/>
      <c r="R217" s="3"/>
      <c r="S217" s="2"/>
      <c r="U217" s="2"/>
      <c r="BA217" s="4"/>
    </row>
    <row r="218" ht="15.75" customHeight="1">
      <c r="C218" s="2"/>
      <c r="E218" s="2"/>
      <c r="G218" s="2"/>
      <c r="R218" s="3"/>
      <c r="S218" s="2"/>
      <c r="U218" s="2"/>
      <c r="BA218" s="4"/>
    </row>
    <row r="219" ht="15.75" customHeight="1">
      <c r="C219" s="2"/>
      <c r="E219" s="2"/>
      <c r="G219" s="2"/>
      <c r="R219" s="3"/>
      <c r="S219" s="2"/>
      <c r="U219" s="2"/>
      <c r="BA219" s="4"/>
    </row>
    <row r="220" ht="15.75" customHeight="1">
      <c r="C220" s="2"/>
      <c r="E220" s="2"/>
      <c r="G220" s="2"/>
      <c r="R220" s="3"/>
      <c r="S220" s="2"/>
      <c r="U220" s="2"/>
      <c r="BA220" s="4"/>
    </row>
    <row r="221" ht="15.75" customHeight="1">
      <c r="C221" s="2"/>
      <c r="E221" s="2"/>
      <c r="G221" s="2"/>
      <c r="R221" s="3"/>
      <c r="S221" s="2"/>
      <c r="U221" s="2"/>
      <c r="BA221" s="4"/>
    </row>
    <row r="222" ht="15.75" customHeight="1">
      <c r="C222" s="2"/>
      <c r="E222" s="2"/>
      <c r="G222" s="2"/>
      <c r="R222" s="3"/>
      <c r="S222" s="2"/>
      <c r="U222" s="2"/>
      <c r="BA222" s="4"/>
    </row>
    <row r="223" ht="15.75" customHeight="1">
      <c r="C223" s="2"/>
      <c r="E223" s="2"/>
      <c r="G223" s="2"/>
      <c r="R223" s="3"/>
      <c r="S223" s="2"/>
      <c r="U223" s="2"/>
      <c r="BA223" s="4"/>
    </row>
    <row r="224" ht="15.75" customHeight="1">
      <c r="C224" s="2"/>
      <c r="E224" s="2"/>
      <c r="G224" s="2"/>
      <c r="R224" s="3"/>
      <c r="S224" s="2"/>
      <c r="U224" s="2"/>
      <c r="BA224" s="4"/>
    </row>
    <row r="225" ht="15.75" customHeight="1">
      <c r="C225" s="2"/>
      <c r="E225" s="2"/>
      <c r="G225" s="2"/>
      <c r="R225" s="3"/>
      <c r="S225" s="2"/>
      <c r="U225" s="2"/>
      <c r="BA225" s="4"/>
    </row>
    <row r="226" ht="15.75" customHeight="1">
      <c r="C226" s="2"/>
      <c r="E226" s="2"/>
      <c r="G226" s="2"/>
      <c r="R226" s="3"/>
      <c r="S226" s="2"/>
      <c r="U226" s="2"/>
      <c r="BA226" s="4"/>
    </row>
    <row r="227" ht="15.75" customHeight="1">
      <c r="C227" s="2"/>
      <c r="E227" s="2"/>
      <c r="G227" s="2"/>
      <c r="R227" s="3"/>
      <c r="S227" s="2"/>
      <c r="U227" s="2"/>
      <c r="BA227" s="4"/>
    </row>
    <row r="228" ht="15.75" customHeight="1">
      <c r="C228" s="2"/>
      <c r="E228" s="2"/>
      <c r="G228" s="2"/>
      <c r="R228" s="3"/>
      <c r="S228" s="2"/>
      <c r="U228" s="2"/>
      <c r="BA228" s="4"/>
    </row>
    <row r="229" ht="15.75" customHeight="1">
      <c r="C229" s="2"/>
      <c r="E229" s="2"/>
      <c r="G229" s="2"/>
      <c r="R229" s="3"/>
      <c r="S229" s="2"/>
      <c r="U229" s="2"/>
      <c r="BA229" s="4"/>
    </row>
    <row r="230" ht="15.75" customHeight="1">
      <c r="C230" s="2"/>
      <c r="E230" s="2"/>
      <c r="G230" s="2"/>
      <c r="R230" s="3"/>
      <c r="S230" s="2"/>
      <c r="U230" s="2"/>
      <c r="BA230" s="4"/>
    </row>
    <row r="231" ht="15.75" customHeight="1">
      <c r="C231" s="2"/>
      <c r="E231" s="2"/>
      <c r="G231" s="2"/>
      <c r="R231" s="3"/>
      <c r="S231" s="2"/>
      <c r="U231" s="2"/>
      <c r="BA231" s="4"/>
    </row>
    <row r="232" ht="15.75" customHeight="1">
      <c r="C232" s="2"/>
      <c r="E232" s="2"/>
      <c r="G232" s="2"/>
      <c r="R232" s="3"/>
      <c r="S232" s="2"/>
      <c r="U232" s="2"/>
      <c r="BA232" s="4"/>
    </row>
    <row r="233" ht="15.75" customHeight="1">
      <c r="C233" s="2"/>
      <c r="E233" s="2"/>
      <c r="G233" s="2"/>
      <c r="R233" s="3"/>
      <c r="S233" s="2"/>
      <c r="U233" s="2"/>
      <c r="BA233" s="4"/>
    </row>
    <row r="234" ht="15.75" customHeight="1">
      <c r="C234" s="2"/>
      <c r="E234" s="2"/>
      <c r="G234" s="2"/>
      <c r="R234" s="3"/>
      <c r="S234" s="2"/>
      <c r="U234" s="2"/>
      <c r="BA234" s="4"/>
    </row>
    <row r="235" ht="15.75" customHeight="1">
      <c r="C235" s="2"/>
      <c r="E235" s="2"/>
      <c r="G235" s="2"/>
      <c r="R235" s="3"/>
      <c r="S235" s="2"/>
      <c r="U235" s="2"/>
      <c r="BA235" s="4"/>
    </row>
    <row r="236" ht="15.75" customHeight="1">
      <c r="C236" s="2"/>
      <c r="E236" s="2"/>
      <c r="G236" s="2"/>
      <c r="R236" s="3"/>
      <c r="S236" s="2"/>
      <c r="U236" s="2"/>
      <c r="BA236" s="4"/>
    </row>
    <row r="237" ht="15.75" customHeight="1">
      <c r="C237" s="2"/>
      <c r="E237" s="2"/>
      <c r="G237" s="2"/>
      <c r="R237" s="3"/>
      <c r="S237" s="2"/>
      <c r="U237" s="2"/>
      <c r="BA237" s="4"/>
    </row>
    <row r="238" ht="15.75" customHeight="1">
      <c r="C238" s="2"/>
      <c r="E238" s="2"/>
      <c r="G238" s="2"/>
      <c r="R238" s="3"/>
      <c r="S238" s="2"/>
      <c r="U238" s="2"/>
      <c r="BA238" s="4"/>
    </row>
    <row r="239" ht="15.75" customHeight="1">
      <c r="C239" s="2"/>
      <c r="E239" s="2"/>
      <c r="G239" s="2"/>
      <c r="R239" s="3"/>
      <c r="S239" s="2"/>
      <c r="U239" s="2"/>
      <c r="BA239" s="4"/>
    </row>
    <row r="240" ht="15.75" customHeight="1">
      <c r="C240" s="2"/>
      <c r="E240" s="2"/>
      <c r="G240" s="2"/>
      <c r="R240" s="3"/>
      <c r="S240" s="2"/>
      <c r="U240" s="2"/>
      <c r="BA240" s="4"/>
    </row>
    <row r="241" ht="15.75" customHeight="1">
      <c r="C241" s="2"/>
      <c r="E241" s="2"/>
      <c r="G241" s="2"/>
      <c r="R241" s="3"/>
      <c r="S241" s="2"/>
      <c r="U241" s="2"/>
      <c r="BA241" s="4"/>
    </row>
    <row r="242" ht="15.75" customHeight="1">
      <c r="C242" s="2"/>
      <c r="E242" s="2"/>
      <c r="G242" s="2"/>
      <c r="R242" s="3"/>
      <c r="S242" s="2"/>
      <c r="U242" s="2"/>
      <c r="BA242" s="4"/>
    </row>
    <row r="243" ht="15.75" customHeight="1">
      <c r="C243" s="2"/>
      <c r="E243" s="2"/>
      <c r="G243" s="2"/>
      <c r="R243" s="3"/>
      <c r="S243" s="2"/>
      <c r="U243" s="2"/>
      <c r="BA243" s="4"/>
    </row>
    <row r="244" ht="15.75" customHeight="1">
      <c r="C244" s="2"/>
      <c r="E244" s="2"/>
      <c r="G244" s="2"/>
      <c r="R244" s="3"/>
      <c r="S244" s="2"/>
      <c r="U244" s="2"/>
      <c r="BA244" s="4"/>
    </row>
    <row r="245" ht="15.75" customHeight="1">
      <c r="C245" s="2"/>
      <c r="E245" s="2"/>
      <c r="G245" s="2"/>
      <c r="R245" s="3"/>
      <c r="S245" s="2"/>
      <c r="U245" s="2"/>
      <c r="BA245" s="4"/>
    </row>
    <row r="246" ht="15.75" customHeight="1">
      <c r="C246" s="2"/>
      <c r="E246" s="2"/>
      <c r="G246" s="2"/>
      <c r="R246" s="3"/>
      <c r="S246" s="2"/>
      <c r="U246" s="2"/>
      <c r="BA246" s="4"/>
    </row>
    <row r="247" ht="15.75" customHeight="1">
      <c r="C247" s="2"/>
      <c r="E247" s="2"/>
      <c r="G247" s="2"/>
      <c r="R247" s="3"/>
      <c r="S247" s="2"/>
      <c r="U247" s="2"/>
      <c r="BA247" s="4"/>
    </row>
    <row r="248" ht="15.75" customHeight="1">
      <c r="C248" s="2"/>
      <c r="E248" s="2"/>
      <c r="G248" s="2"/>
      <c r="R248" s="3"/>
      <c r="S248" s="2"/>
      <c r="U248" s="2"/>
      <c r="BA248" s="4"/>
    </row>
    <row r="249" ht="15.75" customHeight="1">
      <c r="C249" s="2"/>
      <c r="E249" s="2"/>
      <c r="G249" s="2"/>
      <c r="R249" s="3"/>
      <c r="S249" s="2"/>
      <c r="U249" s="2"/>
      <c r="BA249" s="4"/>
    </row>
    <row r="250" ht="15.75" customHeight="1">
      <c r="C250" s="2"/>
      <c r="E250" s="2"/>
      <c r="G250" s="2"/>
      <c r="R250" s="3"/>
      <c r="S250" s="2"/>
      <c r="U250" s="2"/>
      <c r="BA250" s="4"/>
    </row>
    <row r="251" ht="15.75" customHeight="1">
      <c r="C251" s="2"/>
      <c r="E251" s="2"/>
      <c r="G251" s="2"/>
      <c r="R251" s="3"/>
      <c r="S251" s="2"/>
      <c r="U251" s="2"/>
      <c r="BA251" s="4"/>
    </row>
    <row r="252" ht="15.75" customHeight="1">
      <c r="C252" s="2"/>
      <c r="E252" s="2"/>
      <c r="G252" s="2"/>
      <c r="R252" s="3"/>
      <c r="S252" s="2"/>
      <c r="U252" s="2"/>
      <c r="BA252" s="4"/>
    </row>
    <row r="253" ht="15.75" customHeight="1">
      <c r="C253" s="2"/>
      <c r="E253" s="2"/>
      <c r="G253" s="2"/>
      <c r="R253" s="3"/>
      <c r="S253" s="2"/>
      <c r="U253" s="2"/>
      <c r="BA253" s="4"/>
    </row>
    <row r="254" ht="15.75" customHeight="1">
      <c r="C254" s="2"/>
      <c r="E254" s="2"/>
      <c r="G254" s="2"/>
      <c r="R254" s="3"/>
      <c r="S254" s="2"/>
      <c r="U254" s="2"/>
      <c r="BA254" s="4"/>
    </row>
    <row r="255" ht="15.75" customHeight="1">
      <c r="C255" s="2"/>
      <c r="E255" s="2"/>
      <c r="G255" s="2"/>
      <c r="R255" s="3"/>
      <c r="S255" s="2"/>
      <c r="U255" s="2"/>
      <c r="BA255" s="4"/>
    </row>
    <row r="256" ht="15.75" customHeight="1">
      <c r="C256" s="2"/>
      <c r="E256" s="2"/>
      <c r="G256" s="2"/>
      <c r="R256" s="3"/>
      <c r="S256" s="2"/>
      <c r="U256" s="2"/>
      <c r="BA256" s="4"/>
    </row>
    <row r="257" ht="15.75" customHeight="1">
      <c r="C257" s="2"/>
      <c r="E257" s="2"/>
      <c r="G257" s="2"/>
      <c r="R257" s="3"/>
      <c r="S257" s="2"/>
      <c r="U257" s="2"/>
      <c r="BA257" s="4"/>
    </row>
    <row r="258" ht="15.75" customHeight="1">
      <c r="C258" s="2"/>
      <c r="E258" s="2"/>
      <c r="G258" s="2"/>
      <c r="R258" s="3"/>
      <c r="S258" s="2"/>
      <c r="U258" s="2"/>
      <c r="BA258" s="4"/>
    </row>
    <row r="259" ht="15.75" customHeight="1">
      <c r="C259" s="2"/>
      <c r="E259" s="2"/>
      <c r="G259" s="2"/>
      <c r="R259" s="3"/>
      <c r="S259" s="2"/>
      <c r="U259" s="2"/>
      <c r="BA259" s="4"/>
    </row>
    <row r="260" ht="15.75" customHeight="1">
      <c r="C260" s="2"/>
      <c r="E260" s="2"/>
      <c r="G260" s="2"/>
      <c r="R260" s="3"/>
      <c r="S260" s="2"/>
      <c r="U260" s="2"/>
      <c r="BA260" s="4"/>
    </row>
    <row r="261" ht="15.75" customHeight="1">
      <c r="C261" s="2"/>
      <c r="E261" s="2"/>
      <c r="G261" s="2"/>
      <c r="R261" s="3"/>
      <c r="S261" s="2"/>
      <c r="U261" s="2"/>
      <c r="BA261" s="4"/>
    </row>
    <row r="262" ht="15.75" customHeight="1">
      <c r="C262" s="2"/>
      <c r="E262" s="2"/>
      <c r="G262" s="2"/>
      <c r="R262" s="3"/>
      <c r="S262" s="2"/>
      <c r="U262" s="2"/>
      <c r="BA262" s="4"/>
    </row>
    <row r="263" ht="15.75" customHeight="1">
      <c r="C263" s="2"/>
      <c r="E263" s="2"/>
      <c r="G263" s="2"/>
      <c r="R263" s="3"/>
      <c r="S263" s="2"/>
      <c r="U263" s="2"/>
      <c r="BA263" s="4"/>
    </row>
    <row r="264" ht="15.75" customHeight="1">
      <c r="C264" s="2"/>
      <c r="E264" s="2"/>
      <c r="G264" s="2"/>
      <c r="R264" s="3"/>
      <c r="S264" s="2"/>
      <c r="U264" s="2"/>
      <c r="BA264" s="4"/>
    </row>
    <row r="265" ht="15.75" customHeight="1">
      <c r="C265" s="2"/>
      <c r="E265" s="2"/>
      <c r="G265" s="2"/>
      <c r="R265" s="3"/>
      <c r="S265" s="2"/>
      <c r="U265" s="2"/>
      <c r="BA265" s="4"/>
    </row>
    <row r="266" ht="15.75" customHeight="1">
      <c r="C266" s="2"/>
      <c r="E266" s="2"/>
      <c r="G266" s="2"/>
      <c r="R266" s="3"/>
      <c r="S266" s="2"/>
      <c r="U266" s="2"/>
      <c r="BA266" s="4"/>
    </row>
    <row r="267" ht="15.75" customHeight="1">
      <c r="C267" s="2"/>
      <c r="E267" s="2"/>
      <c r="G267" s="2"/>
      <c r="R267" s="3"/>
      <c r="S267" s="2"/>
      <c r="U267" s="2"/>
      <c r="BA267" s="4"/>
    </row>
    <row r="268" ht="15.75" customHeight="1">
      <c r="C268" s="2"/>
      <c r="E268" s="2"/>
      <c r="G268" s="2"/>
      <c r="R268" s="3"/>
      <c r="S268" s="2"/>
      <c r="U268" s="2"/>
      <c r="BA268" s="4"/>
    </row>
    <row r="269" ht="15.75" customHeight="1">
      <c r="C269" s="2"/>
      <c r="E269" s="2"/>
      <c r="G269" s="2"/>
      <c r="R269" s="3"/>
      <c r="S269" s="2"/>
      <c r="U269" s="2"/>
      <c r="BA269" s="4"/>
    </row>
    <row r="270" ht="15.75" customHeight="1">
      <c r="C270" s="2"/>
      <c r="E270" s="2"/>
      <c r="G270" s="2"/>
      <c r="R270" s="3"/>
      <c r="S270" s="2"/>
      <c r="U270" s="2"/>
      <c r="BA270" s="4"/>
    </row>
    <row r="271" ht="15.75" customHeight="1">
      <c r="C271" s="2"/>
      <c r="E271" s="2"/>
      <c r="G271" s="2"/>
      <c r="R271" s="3"/>
      <c r="S271" s="2"/>
      <c r="U271" s="2"/>
      <c r="BA271" s="4"/>
    </row>
    <row r="272" ht="15.75" customHeight="1">
      <c r="C272" s="2"/>
      <c r="E272" s="2"/>
      <c r="G272" s="2"/>
      <c r="R272" s="3"/>
      <c r="S272" s="2"/>
      <c r="U272" s="2"/>
      <c r="BA272" s="4"/>
    </row>
    <row r="273" ht="15.75" customHeight="1">
      <c r="C273" s="2"/>
      <c r="E273" s="2"/>
      <c r="G273" s="2"/>
      <c r="R273" s="3"/>
      <c r="S273" s="2"/>
      <c r="U273" s="2"/>
      <c r="BA273" s="4"/>
    </row>
    <row r="274" ht="15.75" customHeight="1">
      <c r="C274" s="2"/>
      <c r="E274" s="2"/>
      <c r="G274" s="2"/>
      <c r="R274" s="3"/>
      <c r="S274" s="2"/>
      <c r="U274" s="2"/>
      <c r="BA274" s="4"/>
    </row>
    <row r="275" ht="15.75" customHeight="1">
      <c r="C275" s="2"/>
      <c r="E275" s="2"/>
      <c r="G275" s="2"/>
      <c r="R275" s="3"/>
      <c r="S275" s="2"/>
      <c r="U275" s="2"/>
      <c r="BA275" s="4"/>
    </row>
    <row r="276" ht="15.75" customHeight="1">
      <c r="C276" s="2"/>
      <c r="E276" s="2"/>
      <c r="G276" s="2"/>
      <c r="R276" s="3"/>
      <c r="S276" s="2"/>
      <c r="U276" s="2"/>
      <c r="BA276" s="4"/>
    </row>
    <row r="277" ht="15.75" customHeight="1">
      <c r="C277" s="2"/>
      <c r="E277" s="2"/>
      <c r="G277" s="2"/>
      <c r="R277" s="3"/>
      <c r="S277" s="2"/>
      <c r="U277" s="2"/>
      <c r="BA277" s="4"/>
    </row>
    <row r="278" ht="15.75" customHeight="1">
      <c r="C278" s="2"/>
      <c r="E278" s="2"/>
      <c r="G278" s="2"/>
      <c r="R278" s="3"/>
      <c r="S278" s="2"/>
      <c r="U278" s="2"/>
      <c r="BA278" s="4"/>
    </row>
    <row r="279" ht="15.75" customHeight="1">
      <c r="C279" s="2"/>
      <c r="E279" s="2"/>
      <c r="G279" s="2"/>
      <c r="R279" s="3"/>
      <c r="S279" s="2"/>
      <c r="U279" s="2"/>
      <c r="BA279" s="4"/>
    </row>
    <row r="280" ht="15.75" customHeight="1">
      <c r="C280" s="2"/>
      <c r="E280" s="2"/>
      <c r="G280" s="2"/>
      <c r="R280" s="3"/>
      <c r="S280" s="2"/>
      <c r="U280" s="2"/>
      <c r="BA280" s="4"/>
    </row>
    <row r="281" ht="15.75" customHeight="1">
      <c r="C281" s="2"/>
      <c r="E281" s="2"/>
      <c r="G281" s="2"/>
      <c r="R281" s="3"/>
      <c r="S281" s="2"/>
      <c r="U281" s="2"/>
      <c r="BA281" s="4"/>
    </row>
    <row r="282" ht="15.75" customHeight="1">
      <c r="C282" s="2"/>
      <c r="E282" s="2"/>
      <c r="G282" s="2"/>
      <c r="R282" s="3"/>
      <c r="S282" s="2"/>
      <c r="U282" s="2"/>
      <c r="BA282" s="4"/>
    </row>
    <row r="283" ht="15.75" customHeight="1">
      <c r="C283" s="2"/>
      <c r="E283" s="2"/>
      <c r="G283" s="2"/>
      <c r="R283" s="3"/>
      <c r="S283" s="2"/>
      <c r="U283" s="2"/>
      <c r="BA283" s="4"/>
    </row>
    <row r="284" ht="15.75" customHeight="1">
      <c r="C284" s="2"/>
      <c r="E284" s="2"/>
      <c r="G284" s="2"/>
      <c r="R284" s="3"/>
      <c r="S284" s="2"/>
      <c r="U284" s="2"/>
      <c r="BA284" s="4"/>
    </row>
    <row r="285" ht="15.75" customHeight="1">
      <c r="C285" s="2"/>
      <c r="E285" s="2"/>
      <c r="G285" s="2"/>
      <c r="R285" s="3"/>
      <c r="S285" s="2"/>
      <c r="U285" s="2"/>
      <c r="BA285" s="4"/>
    </row>
    <row r="286" ht="15.75" customHeight="1">
      <c r="C286" s="2"/>
      <c r="E286" s="2"/>
      <c r="G286" s="2"/>
      <c r="R286" s="3"/>
      <c r="S286" s="2"/>
      <c r="U286" s="2"/>
      <c r="BA286" s="4"/>
    </row>
    <row r="287" ht="15.75" customHeight="1">
      <c r="C287" s="2"/>
      <c r="E287" s="2"/>
      <c r="G287" s="2"/>
      <c r="R287" s="3"/>
      <c r="S287" s="2"/>
      <c r="U287" s="2"/>
      <c r="BA287" s="4"/>
    </row>
    <row r="288" ht="15.75" customHeight="1">
      <c r="C288" s="2"/>
      <c r="E288" s="2"/>
      <c r="G288" s="2"/>
      <c r="R288" s="3"/>
      <c r="S288" s="2"/>
      <c r="U288" s="2"/>
      <c r="BA288" s="4"/>
    </row>
    <row r="289" ht="15.75" customHeight="1">
      <c r="C289" s="2"/>
      <c r="E289" s="2"/>
      <c r="G289" s="2"/>
      <c r="R289" s="3"/>
      <c r="S289" s="2"/>
      <c r="U289" s="2"/>
      <c r="BA289" s="4"/>
    </row>
    <row r="290" ht="15.75" customHeight="1">
      <c r="C290" s="2"/>
      <c r="E290" s="2"/>
      <c r="G290" s="2"/>
      <c r="R290" s="3"/>
      <c r="S290" s="2"/>
      <c r="U290" s="2"/>
      <c r="BA290" s="4"/>
    </row>
    <row r="291" ht="15.75" customHeight="1">
      <c r="C291" s="2"/>
      <c r="E291" s="2"/>
      <c r="G291" s="2"/>
      <c r="R291" s="3"/>
      <c r="S291" s="2"/>
      <c r="U291" s="2"/>
      <c r="BA291" s="4"/>
    </row>
    <row r="292" ht="15.75" customHeight="1">
      <c r="C292" s="2"/>
      <c r="E292" s="2"/>
      <c r="G292" s="2"/>
      <c r="R292" s="3"/>
      <c r="S292" s="2"/>
      <c r="U292" s="2"/>
      <c r="BA292" s="4"/>
    </row>
    <row r="293" ht="15.75" customHeight="1">
      <c r="C293" s="2"/>
      <c r="E293" s="2"/>
      <c r="G293" s="2"/>
      <c r="R293" s="3"/>
      <c r="S293" s="2"/>
      <c r="U293" s="2"/>
      <c r="BA293" s="4"/>
    </row>
    <row r="294" ht="15.75" customHeight="1">
      <c r="C294" s="2"/>
      <c r="E294" s="2"/>
      <c r="G294" s="2"/>
      <c r="R294" s="3"/>
      <c r="S294" s="2"/>
      <c r="U294" s="2"/>
      <c r="BA294" s="4"/>
    </row>
    <row r="295" ht="15.75" customHeight="1">
      <c r="C295" s="2"/>
      <c r="E295" s="2"/>
      <c r="G295" s="2"/>
      <c r="R295" s="3"/>
      <c r="S295" s="2"/>
      <c r="U295" s="2"/>
      <c r="BA295" s="4"/>
    </row>
    <row r="296" ht="15.75" customHeight="1">
      <c r="C296" s="2"/>
      <c r="E296" s="2"/>
      <c r="G296" s="2"/>
      <c r="R296" s="3"/>
      <c r="S296" s="2"/>
      <c r="U296" s="2"/>
      <c r="BA296" s="4"/>
    </row>
    <row r="297" ht="15.75" customHeight="1">
      <c r="C297" s="2"/>
      <c r="E297" s="2"/>
      <c r="G297" s="2"/>
      <c r="R297" s="3"/>
      <c r="S297" s="2"/>
      <c r="U297" s="2"/>
      <c r="BA297" s="4"/>
    </row>
    <row r="298" ht="15.75" customHeight="1">
      <c r="C298" s="2"/>
      <c r="E298" s="2"/>
      <c r="G298" s="2"/>
      <c r="R298" s="3"/>
      <c r="S298" s="2"/>
      <c r="U298" s="2"/>
      <c r="BA298" s="4"/>
    </row>
    <row r="299" ht="15.75" customHeight="1">
      <c r="C299" s="2"/>
      <c r="E299" s="2"/>
      <c r="G299" s="2"/>
      <c r="R299" s="3"/>
      <c r="S299" s="2"/>
      <c r="U299" s="2"/>
      <c r="BA299" s="4"/>
    </row>
    <row r="300" ht="15.75" customHeight="1">
      <c r="C300" s="2"/>
      <c r="E300" s="2"/>
      <c r="G300" s="2"/>
      <c r="R300" s="3"/>
      <c r="S300" s="2"/>
      <c r="U300" s="2"/>
      <c r="BA300" s="4"/>
    </row>
    <row r="301" ht="15.75" customHeight="1">
      <c r="C301" s="2"/>
      <c r="E301" s="2"/>
      <c r="G301" s="2"/>
      <c r="R301" s="3"/>
      <c r="S301" s="2"/>
      <c r="U301" s="2"/>
      <c r="BA301" s="4"/>
    </row>
    <row r="302" ht="15.75" customHeight="1">
      <c r="C302" s="2"/>
      <c r="E302" s="2"/>
      <c r="G302" s="2"/>
      <c r="R302" s="3"/>
      <c r="S302" s="2"/>
      <c r="U302" s="2"/>
      <c r="BA302" s="4"/>
    </row>
    <row r="303" ht="15.75" customHeight="1">
      <c r="C303" s="2"/>
      <c r="E303" s="2"/>
      <c r="G303" s="2"/>
      <c r="R303" s="3"/>
      <c r="S303" s="2"/>
      <c r="U303" s="2"/>
      <c r="BA303" s="4"/>
    </row>
    <row r="304" ht="15.75" customHeight="1">
      <c r="C304" s="2"/>
      <c r="E304" s="2"/>
      <c r="G304" s="2"/>
      <c r="R304" s="3"/>
      <c r="S304" s="2"/>
      <c r="U304" s="2"/>
      <c r="BA304" s="4"/>
    </row>
    <row r="305" ht="15.75" customHeight="1">
      <c r="C305" s="2"/>
      <c r="E305" s="2"/>
      <c r="G305" s="2"/>
      <c r="R305" s="3"/>
      <c r="S305" s="2"/>
      <c r="U305" s="2"/>
      <c r="BA305" s="4"/>
    </row>
    <row r="306" ht="15.75" customHeight="1">
      <c r="C306" s="2"/>
      <c r="E306" s="2"/>
      <c r="G306" s="2"/>
      <c r="R306" s="3"/>
      <c r="S306" s="2"/>
      <c r="U306" s="2"/>
      <c r="BA306" s="4"/>
    </row>
    <row r="307" ht="15.75" customHeight="1">
      <c r="C307" s="2"/>
      <c r="E307" s="2"/>
      <c r="G307" s="2"/>
      <c r="R307" s="3"/>
      <c r="S307" s="2"/>
      <c r="U307" s="2"/>
      <c r="BA307" s="4"/>
    </row>
    <row r="308" ht="15.75" customHeight="1">
      <c r="C308" s="2"/>
      <c r="E308" s="2"/>
      <c r="G308" s="2"/>
      <c r="R308" s="3"/>
      <c r="S308" s="2"/>
      <c r="U308" s="2"/>
      <c r="BA308" s="4"/>
    </row>
    <row r="309" ht="15.75" customHeight="1">
      <c r="C309" s="2"/>
      <c r="E309" s="2"/>
      <c r="G309" s="2"/>
      <c r="R309" s="3"/>
      <c r="S309" s="2"/>
      <c r="U309" s="2"/>
      <c r="BA309" s="4"/>
    </row>
    <row r="310" ht="15.75" customHeight="1">
      <c r="C310" s="2"/>
      <c r="E310" s="2"/>
      <c r="G310" s="2"/>
      <c r="R310" s="3"/>
      <c r="S310" s="2"/>
      <c r="U310" s="2"/>
      <c r="BA310" s="4"/>
    </row>
    <row r="311" ht="15.75" customHeight="1">
      <c r="C311" s="2"/>
      <c r="E311" s="2"/>
      <c r="G311" s="2"/>
      <c r="R311" s="3"/>
      <c r="S311" s="2"/>
      <c r="U311" s="2"/>
      <c r="BA311" s="4"/>
    </row>
    <row r="312" ht="15.75" customHeight="1">
      <c r="C312" s="2"/>
      <c r="E312" s="2"/>
      <c r="G312" s="2"/>
      <c r="R312" s="3"/>
      <c r="S312" s="2"/>
      <c r="U312" s="2"/>
      <c r="BA312" s="4"/>
    </row>
    <row r="313" ht="15.75" customHeight="1">
      <c r="C313" s="2"/>
      <c r="E313" s="2"/>
      <c r="G313" s="2"/>
      <c r="R313" s="3"/>
      <c r="S313" s="2"/>
      <c r="U313" s="2"/>
      <c r="BA313" s="4"/>
    </row>
    <row r="314" ht="15.75" customHeight="1">
      <c r="C314" s="2"/>
      <c r="E314" s="2"/>
      <c r="G314" s="2"/>
      <c r="R314" s="3"/>
      <c r="S314" s="2"/>
      <c r="U314" s="2"/>
      <c r="BA314" s="4"/>
    </row>
    <row r="315" ht="15.75" customHeight="1">
      <c r="C315" s="2"/>
      <c r="E315" s="2"/>
      <c r="G315" s="2"/>
      <c r="R315" s="3"/>
      <c r="S315" s="2"/>
      <c r="U315" s="2"/>
      <c r="BA315" s="4"/>
    </row>
    <row r="316" ht="15.75" customHeight="1">
      <c r="C316" s="2"/>
      <c r="E316" s="2"/>
      <c r="G316" s="2"/>
      <c r="R316" s="3"/>
      <c r="S316" s="2"/>
      <c r="U316" s="2"/>
      <c r="BA316" s="4"/>
    </row>
    <row r="317" ht="15.75" customHeight="1">
      <c r="C317" s="2"/>
      <c r="E317" s="2"/>
      <c r="G317" s="2"/>
      <c r="R317" s="3"/>
      <c r="S317" s="2"/>
      <c r="U317" s="2"/>
      <c r="BA317" s="4"/>
    </row>
    <row r="318" ht="15.75" customHeight="1">
      <c r="C318" s="2"/>
      <c r="E318" s="2"/>
      <c r="G318" s="2"/>
      <c r="R318" s="3"/>
      <c r="S318" s="2"/>
      <c r="U318" s="2"/>
      <c r="BA318" s="4"/>
    </row>
    <row r="319" ht="15.75" customHeight="1">
      <c r="C319" s="2"/>
      <c r="E319" s="2"/>
      <c r="G319" s="2"/>
      <c r="R319" s="3"/>
      <c r="S319" s="2"/>
      <c r="U319" s="2"/>
      <c r="BA319" s="4"/>
    </row>
    <row r="320" ht="15.75" customHeight="1">
      <c r="C320" s="2"/>
      <c r="E320" s="2"/>
      <c r="G320" s="2"/>
      <c r="R320" s="3"/>
      <c r="S320" s="2"/>
      <c r="U320" s="2"/>
      <c r="BA320" s="4"/>
    </row>
    <row r="321" ht="15.75" customHeight="1">
      <c r="C321" s="2"/>
      <c r="E321" s="2"/>
      <c r="G321" s="2"/>
      <c r="R321" s="3"/>
      <c r="S321" s="2"/>
      <c r="U321" s="2"/>
      <c r="BA321" s="4"/>
    </row>
    <row r="322" ht="15.75" customHeight="1">
      <c r="C322" s="2"/>
      <c r="E322" s="2"/>
      <c r="G322" s="2"/>
      <c r="R322" s="3"/>
      <c r="S322" s="2"/>
      <c r="U322" s="2"/>
      <c r="BA322" s="4"/>
    </row>
    <row r="323" ht="15.75" customHeight="1">
      <c r="C323" s="2"/>
      <c r="E323" s="2"/>
      <c r="G323" s="2"/>
      <c r="R323" s="3"/>
      <c r="S323" s="2"/>
      <c r="U323" s="2"/>
      <c r="BA323" s="4"/>
    </row>
    <row r="324" ht="15.75" customHeight="1">
      <c r="C324" s="2"/>
      <c r="E324" s="2"/>
      <c r="G324" s="2"/>
      <c r="R324" s="3"/>
      <c r="S324" s="2"/>
      <c r="U324" s="2"/>
      <c r="BA324" s="4"/>
    </row>
    <row r="325" ht="15.75" customHeight="1">
      <c r="C325" s="2"/>
      <c r="E325" s="2"/>
      <c r="G325" s="2"/>
      <c r="R325" s="3"/>
      <c r="S325" s="2"/>
      <c r="U325" s="2"/>
      <c r="BA325" s="4"/>
    </row>
    <row r="326" ht="15.75" customHeight="1">
      <c r="C326" s="2"/>
      <c r="E326" s="2"/>
      <c r="G326" s="2"/>
      <c r="R326" s="3"/>
      <c r="S326" s="2"/>
      <c r="U326" s="2"/>
      <c r="BA326" s="4"/>
    </row>
    <row r="327" ht="15.75" customHeight="1">
      <c r="C327" s="2"/>
      <c r="E327" s="2"/>
      <c r="G327" s="2"/>
      <c r="R327" s="3"/>
      <c r="S327" s="2"/>
      <c r="U327" s="2"/>
      <c r="BA327" s="4"/>
    </row>
    <row r="328" ht="15.75" customHeight="1">
      <c r="C328" s="2"/>
      <c r="E328" s="2"/>
      <c r="G328" s="2"/>
      <c r="R328" s="3"/>
      <c r="S328" s="2"/>
      <c r="U328" s="2"/>
      <c r="BA328" s="4"/>
    </row>
    <row r="329" ht="15.75" customHeight="1">
      <c r="C329" s="2"/>
      <c r="E329" s="2"/>
      <c r="G329" s="2"/>
      <c r="R329" s="3"/>
      <c r="S329" s="2"/>
      <c r="U329" s="2"/>
      <c r="BA329" s="4"/>
    </row>
    <row r="330" ht="15.75" customHeight="1">
      <c r="C330" s="2"/>
      <c r="E330" s="2"/>
      <c r="G330" s="2"/>
      <c r="R330" s="3"/>
      <c r="S330" s="2"/>
      <c r="U330" s="2"/>
      <c r="BA330" s="4"/>
    </row>
    <row r="331" ht="15.75" customHeight="1">
      <c r="C331" s="2"/>
      <c r="E331" s="2"/>
      <c r="G331" s="2"/>
      <c r="R331" s="3"/>
      <c r="S331" s="2"/>
      <c r="U331" s="2"/>
      <c r="BA331" s="4"/>
    </row>
    <row r="332" ht="15.75" customHeight="1">
      <c r="C332" s="2"/>
      <c r="E332" s="2"/>
      <c r="G332" s="2"/>
      <c r="R332" s="3"/>
      <c r="S332" s="2"/>
      <c r="U332" s="2"/>
      <c r="BA332" s="4"/>
    </row>
    <row r="333" ht="15.75" customHeight="1">
      <c r="C333" s="2"/>
      <c r="E333" s="2"/>
      <c r="G333" s="2"/>
      <c r="R333" s="3"/>
      <c r="S333" s="2"/>
      <c r="U333" s="2"/>
      <c r="BA333" s="4"/>
    </row>
    <row r="334" ht="15.75" customHeight="1">
      <c r="C334" s="2"/>
      <c r="E334" s="2"/>
      <c r="G334" s="2"/>
      <c r="R334" s="3"/>
      <c r="S334" s="2"/>
      <c r="U334" s="2"/>
      <c r="BA334" s="4"/>
    </row>
    <row r="335" ht="15.75" customHeight="1">
      <c r="C335" s="2"/>
      <c r="E335" s="2"/>
      <c r="G335" s="2"/>
      <c r="R335" s="3"/>
      <c r="S335" s="2"/>
      <c r="U335" s="2"/>
      <c r="BA335" s="4"/>
    </row>
    <row r="336" ht="15.75" customHeight="1">
      <c r="C336" s="2"/>
      <c r="E336" s="2"/>
      <c r="G336" s="2"/>
      <c r="R336" s="3"/>
      <c r="S336" s="2"/>
      <c r="U336" s="2"/>
      <c r="BA336" s="4"/>
    </row>
    <row r="337" ht="15.75" customHeight="1">
      <c r="C337" s="2"/>
      <c r="E337" s="2"/>
      <c r="G337" s="2"/>
      <c r="R337" s="3"/>
      <c r="S337" s="2"/>
      <c r="U337" s="2"/>
      <c r="BA337" s="4"/>
    </row>
    <row r="338" ht="15.75" customHeight="1">
      <c r="C338" s="2"/>
      <c r="E338" s="2"/>
      <c r="G338" s="2"/>
      <c r="R338" s="3"/>
      <c r="S338" s="2"/>
      <c r="U338" s="2"/>
      <c r="BA338" s="4"/>
    </row>
    <row r="339" ht="15.75" customHeight="1">
      <c r="C339" s="2"/>
      <c r="E339" s="2"/>
      <c r="G339" s="2"/>
      <c r="R339" s="3"/>
      <c r="S339" s="2"/>
      <c r="U339" s="2"/>
      <c r="BA339" s="4"/>
    </row>
    <row r="340" ht="15.75" customHeight="1">
      <c r="C340" s="2"/>
      <c r="E340" s="2"/>
      <c r="G340" s="2"/>
      <c r="R340" s="3"/>
      <c r="S340" s="2"/>
      <c r="U340" s="2"/>
      <c r="BA340" s="4"/>
    </row>
    <row r="341" ht="15.75" customHeight="1">
      <c r="C341" s="2"/>
      <c r="E341" s="2"/>
      <c r="G341" s="2"/>
      <c r="R341" s="3"/>
      <c r="S341" s="2"/>
      <c r="U341" s="2"/>
      <c r="BA341" s="4"/>
    </row>
    <row r="342" ht="15.75" customHeight="1">
      <c r="C342" s="2"/>
      <c r="E342" s="2"/>
      <c r="G342" s="2"/>
      <c r="R342" s="3"/>
      <c r="S342" s="2"/>
      <c r="U342" s="2"/>
      <c r="BA342" s="4"/>
    </row>
    <row r="343" ht="15.75" customHeight="1">
      <c r="C343" s="2"/>
      <c r="E343" s="2"/>
      <c r="G343" s="2"/>
      <c r="R343" s="3"/>
      <c r="S343" s="2"/>
      <c r="U343" s="2"/>
      <c r="BA343" s="4"/>
    </row>
    <row r="344" ht="15.75" customHeight="1">
      <c r="C344" s="2"/>
      <c r="E344" s="2"/>
      <c r="G344" s="2"/>
      <c r="R344" s="3"/>
      <c r="S344" s="2"/>
      <c r="U344" s="2"/>
      <c r="BA344" s="4"/>
    </row>
    <row r="345" ht="15.75" customHeight="1">
      <c r="C345" s="2"/>
      <c r="E345" s="2"/>
      <c r="G345" s="2"/>
      <c r="R345" s="3"/>
      <c r="S345" s="2"/>
      <c r="U345" s="2"/>
      <c r="BA345" s="4"/>
    </row>
    <row r="346" ht="15.75" customHeight="1">
      <c r="C346" s="2"/>
      <c r="E346" s="2"/>
      <c r="G346" s="2"/>
      <c r="R346" s="3"/>
      <c r="S346" s="2"/>
      <c r="U346" s="2"/>
      <c r="BA346" s="4"/>
    </row>
    <row r="347" ht="15.75" customHeight="1">
      <c r="C347" s="2"/>
      <c r="E347" s="2"/>
      <c r="G347" s="2"/>
      <c r="R347" s="3"/>
      <c r="S347" s="2"/>
      <c r="U347" s="2"/>
      <c r="BA347" s="4"/>
    </row>
    <row r="348" ht="15.75" customHeight="1">
      <c r="C348" s="2"/>
      <c r="E348" s="2"/>
      <c r="G348" s="2"/>
      <c r="R348" s="3"/>
      <c r="S348" s="2"/>
      <c r="U348" s="2"/>
      <c r="BA348" s="4"/>
    </row>
    <row r="349" ht="15.75" customHeight="1">
      <c r="C349" s="2"/>
      <c r="E349" s="2"/>
      <c r="G349" s="2"/>
      <c r="R349" s="3"/>
      <c r="S349" s="2"/>
      <c r="U349" s="2"/>
      <c r="BA349" s="4"/>
    </row>
    <row r="350" ht="15.75" customHeight="1">
      <c r="C350" s="2"/>
      <c r="E350" s="2"/>
      <c r="G350" s="2"/>
      <c r="R350" s="3"/>
      <c r="S350" s="2"/>
      <c r="U350" s="2"/>
      <c r="BA350" s="4"/>
    </row>
    <row r="351" ht="15.75" customHeight="1">
      <c r="C351" s="2"/>
      <c r="E351" s="2"/>
      <c r="G351" s="2"/>
      <c r="R351" s="3"/>
      <c r="S351" s="2"/>
      <c r="U351" s="2"/>
      <c r="BA351" s="4"/>
    </row>
    <row r="352" ht="15.75" customHeight="1">
      <c r="C352" s="2"/>
      <c r="E352" s="2"/>
      <c r="G352" s="2"/>
      <c r="R352" s="3"/>
      <c r="S352" s="2"/>
      <c r="U352" s="2"/>
      <c r="BA352" s="4"/>
    </row>
    <row r="353" ht="15.75" customHeight="1">
      <c r="C353" s="2"/>
      <c r="E353" s="2"/>
      <c r="G353" s="2"/>
      <c r="R353" s="3"/>
      <c r="S353" s="2"/>
      <c r="U353" s="2"/>
      <c r="BA353" s="4"/>
    </row>
    <row r="354" ht="15.75" customHeight="1">
      <c r="C354" s="2"/>
      <c r="E354" s="2"/>
      <c r="G354" s="2"/>
      <c r="R354" s="3"/>
      <c r="S354" s="2"/>
      <c r="U354" s="2"/>
      <c r="BA354" s="4"/>
    </row>
    <row r="355" ht="15.75" customHeight="1">
      <c r="C355" s="2"/>
      <c r="E355" s="2"/>
      <c r="G355" s="2"/>
      <c r="R355" s="3"/>
      <c r="S355" s="2"/>
      <c r="U355" s="2"/>
      <c r="BA355" s="4"/>
    </row>
    <row r="356" ht="15.75" customHeight="1">
      <c r="C356" s="2"/>
      <c r="E356" s="2"/>
      <c r="G356" s="2"/>
      <c r="R356" s="3"/>
      <c r="S356" s="2"/>
      <c r="U356" s="2"/>
      <c r="BA356" s="4"/>
    </row>
    <row r="357" ht="15.75" customHeight="1">
      <c r="C357" s="2"/>
      <c r="E357" s="2"/>
      <c r="G357" s="2"/>
      <c r="R357" s="3"/>
      <c r="S357" s="2"/>
      <c r="U357" s="2"/>
      <c r="BA357" s="4"/>
    </row>
    <row r="358" ht="15.75" customHeight="1">
      <c r="C358" s="2"/>
      <c r="E358" s="2"/>
      <c r="G358" s="2"/>
      <c r="R358" s="3"/>
      <c r="S358" s="2"/>
      <c r="U358" s="2"/>
      <c r="BA358" s="4"/>
    </row>
    <row r="359" ht="15.75" customHeight="1">
      <c r="C359" s="2"/>
      <c r="E359" s="2"/>
      <c r="G359" s="2"/>
      <c r="R359" s="3"/>
      <c r="S359" s="2"/>
      <c r="U359" s="2"/>
      <c r="BA359" s="4"/>
    </row>
    <row r="360" ht="15.75" customHeight="1">
      <c r="C360" s="2"/>
      <c r="E360" s="2"/>
      <c r="G360" s="2"/>
      <c r="R360" s="3"/>
      <c r="S360" s="2"/>
      <c r="U360" s="2"/>
      <c r="BA360" s="4"/>
    </row>
    <row r="361" ht="15.75" customHeight="1">
      <c r="C361" s="2"/>
      <c r="E361" s="2"/>
      <c r="G361" s="2"/>
      <c r="R361" s="3"/>
      <c r="S361" s="2"/>
      <c r="U361" s="2"/>
      <c r="BA361" s="4"/>
    </row>
    <row r="362" ht="15.75" customHeight="1">
      <c r="C362" s="2"/>
      <c r="E362" s="2"/>
      <c r="G362" s="2"/>
      <c r="R362" s="3"/>
      <c r="S362" s="2"/>
      <c r="U362" s="2"/>
      <c r="BA362" s="4"/>
    </row>
    <row r="363" ht="15.75" customHeight="1">
      <c r="C363" s="2"/>
      <c r="E363" s="2"/>
      <c r="G363" s="2"/>
      <c r="R363" s="3"/>
      <c r="S363" s="2"/>
      <c r="U363" s="2"/>
      <c r="BA363" s="4"/>
    </row>
    <row r="364" ht="15.75" customHeight="1">
      <c r="C364" s="2"/>
      <c r="E364" s="2"/>
      <c r="G364" s="2"/>
      <c r="R364" s="3"/>
      <c r="S364" s="2"/>
      <c r="U364" s="2"/>
      <c r="BA364" s="4"/>
    </row>
    <row r="365" ht="15.75" customHeight="1">
      <c r="C365" s="2"/>
      <c r="E365" s="2"/>
      <c r="G365" s="2"/>
      <c r="R365" s="3"/>
      <c r="S365" s="2"/>
      <c r="U365" s="2"/>
      <c r="BA365" s="4"/>
    </row>
    <row r="366" ht="15.75" customHeight="1">
      <c r="C366" s="2"/>
      <c r="E366" s="2"/>
      <c r="G366" s="2"/>
      <c r="R366" s="3"/>
      <c r="S366" s="2"/>
      <c r="U366" s="2"/>
      <c r="BA366" s="4"/>
    </row>
    <row r="367" ht="15.75" customHeight="1">
      <c r="C367" s="2"/>
      <c r="E367" s="2"/>
      <c r="G367" s="2"/>
      <c r="R367" s="3"/>
      <c r="S367" s="2"/>
      <c r="U367" s="2"/>
      <c r="BA367" s="4"/>
    </row>
    <row r="368" ht="15.75" customHeight="1">
      <c r="C368" s="2"/>
      <c r="E368" s="2"/>
      <c r="G368" s="2"/>
      <c r="R368" s="3"/>
      <c r="S368" s="2"/>
      <c r="U368" s="2"/>
      <c r="BA368" s="4"/>
    </row>
    <row r="369" ht="15.75" customHeight="1">
      <c r="C369" s="2"/>
      <c r="E369" s="2"/>
      <c r="G369" s="2"/>
      <c r="R369" s="3"/>
      <c r="S369" s="2"/>
      <c r="U369" s="2"/>
      <c r="BA369" s="4"/>
    </row>
    <row r="370" ht="15.75" customHeight="1">
      <c r="C370" s="2"/>
      <c r="E370" s="2"/>
      <c r="G370" s="2"/>
      <c r="R370" s="3"/>
      <c r="S370" s="2"/>
      <c r="U370" s="2"/>
      <c r="BA370" s="4"/>
    </row>
    <row r="371" ht="15.75" customHeight="1">
      <c r="C371" s="2"/>
      <c r="E371" s="2"/>
      <c r="G371" s="2"/>
      <c r="R371" s="3"/>
      <c r="S371" s="2"/>
      <c r="U371" s="2"/>
      <c r="BA371" s="4"/>
    </row>
    <row r="372" ht="15.75" customHeight="1">
      <c r="C372" s="2"/>
      <c r="E372" s="2"/>
      <c r="G372" s="2"/>
      <c r="R372" s="3"/>
      <c r="S372" s="2"/>
      <c r="U372" s="2"/>
      <c r="BA372" s="4"/>
    </row>
    <row r="373" ht="15.75" customHeight="1">
      <c r="C373" s="2"/>
      <c r="E373" s="2"/>
      <c r="G373" s="2"/>
      <c r="R373" s="3"/>
      <c r="S373" s="2"/>
      <c r="U373" s="2"/>
      <c r="BA373" s="4"/>
    </row>
    <row r="374" ht="15.75" customHeight="1">
      <c r="C374" s="2"/>
      <c r="E374" s="2"/>
      <c r="G374" s="2"/>
      <c r="R374" s="3"/>
      <c r="S374" s="2"/>
      <c r="U374" s="2"/>
      <c r="BA374" s="4"/>
    </row>
    <row r="375" ht="15.75" customHeight="1">
      <c r="C375" s="2"/>
      <c r="E375" s="2"/>
      <c r="G375" s="2"/>
      <c r="R375" s="3"/>
      <c r="S375" s="2"/>
      <c r="U375" s="2"/>
      <c r="BA375" s="4"/>
    </row>
    <row r="376" ht="15.75" customHeight="1">
      <c r="C376" s="2"/>
      <c r="E376" s="2"/>
      <c r="G376" s="2"/>
      <c r="R376" s="3"/>
      <c r="S376" s="2"/>
      <c r="U376" s="2"/>
      <c r="BA376" s="4"/>
    </row>
    <row r="377" ht="15.75" customHeight="1">
      <c r="C377" s="2"/>
      <c r="E377" s="2"/>
      <c r="G377" s="2"/>
      <c r="R377" s="3"/>
      <c r="S377" s="2"/>
      <c r="U377" s="2"/>
      <c r="BA377" s="4"/>
    </row>
    <row r="378" ht="15.75" customHeight="1">
      <c r="C378" s="2"/>
      <c r="E378" s="2"/>
      <c r="G378" s="2"/>
      <c r="R378" s="3"/>
      <c r="S378" s="2"/>
      <c r="U378" s="2"/>
      <c r="BA378" s="4"/>
    </row>
    <row r="379" ht="15.75" customHeight="1">
      <c r="C379" s="2"/>
      <c r="E379" s="2"/>
      <c r="G379" s="2"/>
      <c r="R379" s="3"/>
      <c r="S379" s="2"/>
      <c r="U379" s="2"/>
      <c r="BA379" s="4"/>
    </row>
    <row r="380" ht="15.75" customHeight="1">
      <c r="C380" s="2"/>
      <c r="E380" s="2"/>
      <c r="G380" s="2"/>
      <c r="R380" s="3"/>
      <c r="S380" s="2"/>
      <c r="U380" s="2"/>
      <c r="BA380" s="4"/>
    </row>
    <row r="381" ht="15.75" customHeight="1">
      <c r="C381" s="2"/>
      <c r="E381" s="2"/>
      <c r="G381" s="2"/>
      <c r="R381" s="3"/>
      <c r="S381" s="2"/>
      <c r="U381" s="2"/>
      <c r="BA381" s="4"/>
    </row>
    <row r="382" ht="15.75" customHeight="1">
      <c r="C382" s="2"/>
      <c r="E382" s="2"/>
      <c r="G382" s="2"/>
      <c r="R382" s="3"/>
      <c r="S382" s="2"/>
      <c r="U382" s="2"/>
      <c r="BA382" s="4"/>
    </row>
    <row r="383" ht="15.75" customHeight="1">
      <c r="C383" s="2"/>
      <c r="E383" s="2"/>
      <c r="G383" s="2"/>
      <c r="R383" s="3"/>
      <c r="S383" s="2"/>
      <c r="U383" s="2"/>
      <c r="BA383" s="4"/>
    </row>
    <row r="384" ht="15.75" customHeight="1">
      <c r="C384" s="2"/>
      <c r="E384" s="2"/>
      <c r="G384" s="2"/>
      <c r="R384" s="3"/>
      <c r="S384" s="2"/>
      <c r="U384" s="2"/>
      <c r="BA384" s="4"/>
    </row>
    <row r="385" ht="15.75" customHeight="1">
      <c r="C385" s="2"/>
      <c r="E385" s="2"/>
      <c r="G385" s="2"/>
      <c r="R385" s="3"/>
      <c r="S385" s="2"/>
      <c r="U385" s="2"/>
      <c r="BA385" s="4"/>
    </row>
    <row r="386" ht="15.75" customHeight="1">
      <c r="C386" s="2"/>
      <c r="E386" s="2"/>
      <c r="G386" s="2"/>
      <c r="R386" s="3"/>
      <c r="S386" s="2"/>
      <c r="U386" s="2"/>
      <c r="BA386" s="4"/>
    </row>
    <row r="387" ht="15.75" customHeight="1">
      <c r="C387" s="2"/>
      <c r="E387" s="2"/>
      <c r="G387" s="2"/>
      <c r="R387" s="3"/>
      <c r="S387" s="2"/>
      <c r="U387" s="2"/>
      <c r="BA387" s="4"/>
    </row>
    <row r="388" ht="15.75" customHeight="1">
      <c r="C388" s="2"/>
      <c r="E388" s="2"/>
      <c r="G388" s="2"/>
      <c r="R388" s="3"/>
      <c r="S388" s="2"/>
      <c r="U388" s="2"/>
      <c r="BA388" s="4"/>
    </row>
    <row r="389" ht="15.75" customHeight="1">
      <c r="C389" s="2"/>
      <c r="E389" s="2"/>
      <c r="G389" s="2"/>
      <c r="R389" s="3"/>
      <c r="S389" s="2"/>
      <c r="U389" s="2"/>
      <c r="BA389" s="4"/>
    </row>
    <row r="390" ht="15.75" customHeight="1">
      <c r="C390" s="2"/>
      <c r="E390" s="2"/>
      <c r="G390" s="2"/>
      <c r="R390" s="3"/>
      <c r="S390" s="2"/>
      <c r="U390" s="2"/>
      <c r="BA390" s="4"/>
    </row>
    <row r="391" ht="15.75" customHeight="1">
      <c r="C391" s="2"/>
      <c r="E391" s="2"/>
      <c r="G391" s="2"/>
      <c r="R391" s="3"/>
      <c r="S391" s="2"/>
      <c r="U391" s="2"/>
      <c r="BA391" s="4"/>
    </row>
    <row r="392" ht="15.75" customHeight="1">
      <c r="C392" s="2"/>
      <c r="E392" s="2"/>
      <c r="G392" s="2"/>
      <c r="R392" s="3"/>
      <c r="S392" s="2"/>
      <c r="U392" s="2"/>
      <c r="BA392" s="4"/>
    </row>
    <row r="393" ht="15.75" customHeight="1">
      <c r="C393" s="2"/>
      <c r="E393" s="2"/>
      <c r="G393" s="2"/>
      <c r="R393" s="3"/>
      <c r="S393" s="2"/>
      <c r="U393" s="2"/>
      <c r="BA393" s="4"/>
    </row>
    <row r="394" ht="15.75" customHeight="1">
      <c r="C394" s="2"/>
      <c r="E394" s="2"/>
      <c r="G394" s="2"/>
      <c r="R394" s="3"/>
      <c r="S394" s="2"/>
      <c r="U394" s="2"/>
      <c r="BA394" s="4"/>
    </row>
    <row r="395" ht="15.75" customHeight="1">
      <c r="C395" s="2"/>
      <c r="E395" s="2"/>
      <c r="G395" s="2"/>
      <c r="R395" s="3"/>
      <c r="S395" s="2"/>
      <c r="U395" s="2"/>
      <c r="BA395" s="4"/>
    </row>
    <row r="396" ht="15.75" customHeight="1">
      <c r="C396" s="2"/>
      <c r="E396" s="2"/>
      <c r="G396" s="2"/>
      <c r="R396" s="3"/>
      <c r="S396" s="2"/>
      <c r="U396" s="2"/>
      <c r="BA396" s="4"/>
    </row>
    <row r="397" ht="15.75" customHeight="1">
      <c r="C397" s="2"/>
      <c r="E397" s="2"/>
      <c r="G397" s="2"/>
      <c r="R397" s="3"/>
      <c r="S397" s="2"/>
      <c r="U397" s="2"/>
      <c r="BA397" s="4"/>
    </row>
    <row r="398" ht="15.75" customHeight="1">
      <c r="C398" s="2"/>
      <c r="E398" s="2"/>
      <c r="G398" s="2"/>
      <c r="R398" s="3"/>
      <c r="S398" s="2"/>
      <c r="U398" s="2"/>
      <c r="BA398" s="4"/>
    </row>
    <row r="399" ht="15.75" customHeight="1">
      <c r="C399" s="2"/>
      <c r="E399" s="2"/>
      <c r="G399" s="2"/>
      <c r="R399" s="3"/>
      <c r="S399" s="2"/>
      <c r="U399" s="2"/>
      <c r="BA399" s="4"/>
    </row>
    <row r="400" ht="15.75" customHeight="1">
      <c r="C400" s="2"/>
      <c r="E400" s="2"/>
      <c r="G400" s="2"/>
      <c r="R400" s="3"/>
      <c r="S400" s="2"/>
      <c r="U400" s="2"/>
      <c r="BA400" s="4"/>
    </row>
    <row r="401" ht="15.75" customHeight="1">
      <c r="C401" s="2"/>
      <c r="E401" s="2"/>
      <c r="G401" s="2"/>
      <c r="R401" s="3"/>
      <c r="S401" s="2"/>
      <c r="U401" s="2"/>
      <c r="BA401" s="4"/>
    </row>
    <row r="402" ht="15.75" customHeight="1">
      <c r="C402" s="2"/>
      <c r="E402" s="2"/>
      <c r="G402" s="2"/>
      <c r="R402" s="3"/>
      <c r="S402" s="2"/>
      <c r="U402" s="2"/>
      <c r="BA402" s="4"/>
    </row>
    <row r="403" ht="15.75" customHeight="1">
      <c r="C403" s="2"/>
      <c r="E403" s="2"/>
      <c r="G403" s="2"/>
      <c r="R403" s="3"/>
      <c r="S403" s="2"/>
      <c r="U403" s="2"/>
      <c r="BA403" s="4"/>
    </row>
    <row r="404" ht="15.75" customHeight="1">
      <c r="C404" s="2"/>
      <c r="E404" s="2"/>
      <c r="G404" s="2"/>
      <c r="R404" s="3"/>
      <c r="S404" s="2"/>
      <c r="U404" s="2"/>
      <c r="BA404" s="4"/>
    </row>
    <row r="405" ht="15.75" customHeight="1">
      <c r="C405" s="2"/>
      <c r="E405" s="2"/>
      <c r="G405" s="2"/>
      <c r="R405" s="3"/>
      <c r="S405" s="2"/>
      <c r="U405" s="2"/>
      <c r="BA405" s="4"/>
    </row>
    <row r="406" ht="15.75" customHeight="1">
      <c r="C406" s="2"/>
      <c r="E406" s="2"/>
      <c r="G406" s="2"/>
      <c r="R406" s="3"/>
      <c r="S406" s="2"/>
      <c r="U406" s="2"/>
      <c r="BA406" s="4"/>
    </row>
    <row r="407" ht="15.75" customHeight="1">
      <c r="C407" s="2"/>
      <c r="E407" s="2"/>
      <c r="G407" s="2"/>
      <c r="R407" s="3"/>
      <c r="S407" s="2"/>
      <c r="U407" s="2"/>
      <c r="BA407" s="4"/>
    </row>
    <row r="408" ht="15.75" customHeight="1">
      <c r="C408" s="2"/>
      <c r="E408" s="2"/>
      <c r="G408" s="2"/>
      <c r="R408" s="3"/>
      <c r="S408" s="2"/>
      <c r="U408" s="2"/>
      <c r="BA408" s="4"/>
    </row>
    <row r="409" ht="15.75" customHeight="1">
      <c r="C409" s="2"/>
      <c r="E409" s="2"/>
      <c r="G409" s="2"/>
      <c r="R409" s="3"/>
      <c r="S409" s="2"/>
      <c r="U409" s="2"/>
      <c r="BA409" s="4"/>
    </row>
    <row r="410" ht="15.75" customHeight="1">
      <c r="C410" s="2"/>
      <c r="E410" s="2"/>
      <c r="G410" s="2"/>
      <c r="R410" s="3"/>
      <c r="S410" s="2"/>
      <c r="U410" s="2"/>
      <c r="BA410" s="4"/>
    </row>
    <row r="411" ht="15.75" customHeight="1">
      <c r="C411" s="2"/>
      <c r="E411" s="2"/>
      <c r="G411" s="2"/>
      <c r="R411" s="3"/>
      <c r="S411" s="2"/>
      <c r="U411" s="2"/>
      <c r="BA411" s="4"/>
    </row>
    <row r="412" ht="15.75" customHeight="1">
      <c r="C412" s="2"/>
      <c r="E412" s="2"/>
      <c r="G412" s="2"/>
      <c r="R412" s="3"/>
      <c r="S412" s="2"/>
      <c r="U412" s="2"/>
      <c r="BA412" s="4"/>
    </row>
    <row r="413" ht="15.75" customHeight="1">
      <c r="C413" s="2"/>
      <c r="E413" s="2"/>
      <c r="G413" s="2"/>
      <c r="R413" s="3"/>
      <c r="S413" s="2"/>
      <c r="U413" s="2"/>
      <c r="BA413" s="4"/>
    </row>
    <row r="414" ht="15.75" customHeight="1">
      <c r="C414" s="2"/>
      <c r="E414" s="2"/>
      <c r="G414" s="2"/>
      <c r="R414" s="3"/>
      <c r="S414" s="2"/>
      <c r="U414" s="2"/>
      <c r="BA414" s="4"/>
    </row>
    <row r="415" ht="15.75" customHeight="1">
      <c r="C415" s="2"/>
      <c r="E415" s="2"/>
      <c r="G415" s="2"/>
      <c r="R415" s="3"/>
      <c r="S415" s="2"/>
      <c r="U415" s="2"/>
      <c r="BA415" s="4"/>
    </row>
    <row r="416" ht="15.75" customHeight="1">
      <c r="C416" s="2"/>
      <c r="E416" s="2"/>
      <c r="G416" s="2"/>
      <c r="R416" s="3"/>
      <c r="S416" s="2"/>
      <c r="U416" s="2"/>
      <c r="BA416" s="4"/>
    </row>
    <row r="417" ht="15.75" customHeight="1">
      <c r="C417" s="2"/>
      <c r="E417" s="2"/>
      <c r="G417" s="2"/>
      <c r="R417" s="3"/>
      <c r="S417" s="2"/>
      <c r="U417" s="2"/>
      <c r="BA417" s="4"/>
    </row>
    <row r="418" ht="15.75" customHeight="1">
      <c r="C418" s="2"/>
      <c r="E418" s="2"/>
      <c r="G418" s="2"/>
      <c r="R418" s="3"/>
      <c r="S418" s="2"/>
      <c r="U418" s="2"/>
      <c r="BA418" s="4"/>
    </row>
    <row r="419" ht="15.75" customHeight="1">
      <c r="C419" s="2"/>
      <c r="E419" s="2"/>
      <c r="G419" s="2"/>
      <c r="R419" s="3"/>
      <c r="S419" s="2"/>
      <c r="U419" s="2"/>
      <c r="BA419" s="4"/>
    </row>
    <row r="420" ht="15.75" customHeight="1">
      <c r="C420" s="2"/>
      <c r="E420" s="2"/>
      <c r="G420" s="2"/>
      <c r="R420" s="3"/>
      <c r="S420" s="2"/>
      <c r="U420" s="2"/>
      <c r="BA420" s="4"/>
    </row>
    <row r="421" ht="15.75" customHeight="1">
      <c r="C421" s="2"/>
      <c r="E421" s="2"/>
      <c r="G421" s="2"/>
      <c r="R421" s="3"/>
      <c r="S421" s="2"/>
      <c r="U421" s="2"/>
      <c r="BA421" s="4"/>
    </row>
    <row r="422" ht="15.75" customHeight="1">
      <c r="C422" s="2"/>
      <c r="E422" s="2"/>
      <c r="G422" s="2"/>
      <c r="R422" s="3"/>
      <c r="S422" s="2"/>
      <c r="U422" s="2"/>
      <c r="BA422" s="4"/>
    </row>
    <row r="423" ht="15.75" customHeight="1">
      <c r="C423" s="2"/>
      <c r="E423" s="2"/>
      <c r="G423" s="2"/>
      <c r="R423" s="3"/>
      <c r="S423" s="2"/>
      <c r="U423" s="2"/>
      <c r="BA423" s="4"/>
    </row>
    <row r="424" ht="15.75" customHeight="1">
      <c r="C424" s="2"/>
      <c r="E424" s="2"/>
      <c r="G424" s="2"/>
      <c r="R424" s="3"/>
      <c r="S424" s="2"/>
      <c r="U424" s="2"/>
      <c r="BA424" s="4"/>
    </row>
    <row r="425" ht="15.75" customHeight="1">
      <c r="C425" s="2"/>
      <c r="E425" s="2"/>
      <c r="G425" s="2"/>
      <c r="R425" s="3"/>
      <c r="S425" s="2"/>
      <c r="U425" s="2"/>
      <c r="BA425" s="4"/>
    </row>
    <row r="426" ht="15.75" customHeight="1">
      <c r="C426" s="2"/>
      <c r="E426" s="2"/>
      <c r="G426" s="2"/>
      <c r="R426" s="3"/>
      <c r="S426" s="2"/>
      <c r="U426" s="2"/>
      <c r="BA426" s="4"/>
    </row>
    <row r="427" ht="15.75" customHeight="1">
      <c r="C427" s="2"/>
      <c r="E427" s="2"/>
      <c r="G427" s="2"/>
      <c r="R427" s="3"/>
      <c r="S427" s="2"/>
      <c r="U427" s="2"/>
      <c r="BA427" s="4"/>
    </row>
    <row r="428" ht="15.75" customHeight="1">
      <c r="C428" s="2"/>
      <c r="E428" s="2"/>
      <c r="G428" s="2"/>
      <c r="R428" s="3"/>
      <c r="S428" s="2"/>
      <c r="U428" s="2"/>
      <c r="BA428" s="4"/>
    </row>
    <row r="429" ht="15.75" customHeight="1">
      <c r="C429" s="2"/>
      <c r="E429" s="2"/>
      <c r="G429" s="2"/>
      <c r="R429" s="3"/>
      <c r="S429" s="2"/>
      <c r="U429" s="2"/>
      <c r="BA429" s="4"/>
    </row>
    <row r="430" ht="15.75" customHeight="1">
      <c r="C430" s="2"/>
      <c r="E430" s="2"/>
      <c r="G430" s="2"/>
      <c r="R430" s="3"/>
      <c r="S430" s="2"/>
      <c r="U430" s="2"/>
      <c r="BA430" s="4"/>
    </row>
    <row r="431" ht="15.75" customHeight="1">
      <c r="C431" s="2"/>
      <c r="E431" s="2"/>
      <c r="G431" s="2"/>
      <c r="R431" s="3"/>
      <c r="S431" s="2"/>
      <c r="U431" s="2"/>
      <c r="BA431" s="4"/>
    </row>
    <row r="432" ht="15.75" customHeight="1">
      <c r="C432" s="2"/>
      <c r="E432" s="2"/>
      <c r="G432" s="2"/>
      <c r="R432" s="3"/>
      <c r="S432" s="2"/>
      <c r="U432" s="2"/>
      <c r="BA432" s="4"/>
    </row>
    <row r="433" ht="15.75" customHeight="1">
      <c r="C433" s="2"/>
      <c r="E433" s="2"/>
      <c r="G433" s="2"/>
      <c r="R433" s="3"/>
      <c r="S433" s="2"/>
      <c r="U433" s="2"/>
      <c r="BA433" s="4"/>
    </row>
    <row r="434" ht="15.75" customHeight="1">
      <c r="C434" s="2"/>
      <c r="E434" s="2"/>
      <c r="G434" s="2"/>
      <c r="R434" s="3"/>
      <c r="S434" s="2"/>
      <c r="U434" s="2"/>
      <c r="BA434" s="4"/>
    </row>
    <row r="435" ht="15.75" customHeight="1">
      <c r="C435" s="2"/>
      <c r="E435" s="2"/>
      <c r="G435" s="2"/>
      <c r="R435" s="3"/>
      <c r="S435" s="2"/>
      <c r="U435" s="2"/>
      <c r="BA435" s="4"/>
    </row>
    <row r="436" ht="15.75" customHeight="1">
      <c r="C436" s="2"/>
      <c r="E436" s="2"/>
      <c r="G436" s="2"/>
      <c r="R436" s="3"/>
      <c r="S436" s="2"/>
      <c r="U436" s="2"/>
      <c r="BA436" s="4"/>
    </row>
    <row r="437" ht="15.75" customHeight="1">
      <c r="C437" s="2"/>
      <c r="E437" s="2"/>
      <c r="G437" s="2"/>
      <c r="R437" s="3"/>
      <c r="S437" s="2"/>
      <c r="U437" s="2"/>
      <c r="BA437" s="4"/>
    </row>
    <row r="438" ht="15.75" customHeight="1">
      <c r="C438" s="2"/>
      <c r="E438" s="2"/>
      <c r="G438" s="2"/>
      <c r="R438" s="3"/>
      <c r="S438" s="2"/>
      <c r="U438" s="2"/>
      <c r="BA438" s="4"/>
    </row>
    <row r="439" ht="15.75" customHeight="1">
      <c r="C439" s="2"/>
      <c r="E439" s="2"/>
      <c r="G439" s="2"/>
      <c r="R439" s="3"/>
      <c r="S439" s="2"/>
      <c r="U439" s="2"/>
      <c r="BA439" s="4"/>
    </row>
    <row r="440" ht="15.75" customHeight="1">
      <c r="C440" s="2"/>
      <c r="E440" s="2"/>
      <c r="G440" s="2"/>
      <c r="R440" s="3"/>
      <c r="S440" s="2"/>
      <c r="U440" s="2"/>
      <c r="BA440" s="4"/>
    </row>
    <row r="441" ht="15.75" customHeight="1">
      <c r="C441" s="2"/>
      <c r="E441" s="2"/>
      <c r="G441" s="2"/>
      <c r="R441" s="3"/>
      <c r="S441" s="2"/>
      <c r="U441" s="2"/>
      <c r="BA441" s="4"/>
    </row>
    <row r="442" ht="15.75" customHeight="1">
      <c r="C442" s="2"/>
      <c r="E442" s="2"/>
      <c r="G442" s="2"/>
      <c r="R442" s="3"/>
      <c r="S442" s="2"/>
      <c r="U442" s="2"/>
      <c r="BA442" s="4"/>
    </row>
    <row r="443" ht="15.75" customHeight="1">
      <c r="C443" s="2"/>
      <c r="E443" s="2"/>
      <c r="G443" s="2"/>
      <c r="R443" s="3"/>
      <c r="S443" s="2"/>
      <c r="U443" s="2"/>
      <c r="BA443" s="4"/>
    </row>
    <row r="444" ht="15.75" customHeight="1">
      <c r="C444" s="2"/>
      <c r="E444" s="2"/>
      <c r="G444" s="2"/>
      <c r="R444" s="3"/>
      <c r="S444" s="2"/>
      <c r="U444" s="2"/>
      <c r="BA444" s="4"/>
    </row>
    <row r="445" ht="15.75" customHeight="1">
      <c r="C445" s="2"/>
      <c r="E445" s="2"/>
      <c r="G445" s="2"/>
      <c r="R445" s="3"/>
      <c r="S445" s="2"/>
      <c r="U445" s="2"/>
      <c r="BA445" s="4"/>
    </row>
    <row r="446" ht="15.75" customHeight="1">
      <c r="C446" s="2"/>
      <c r="E446" s="2"/>
      <c r="G446" s="2"/>
      <c r="R446" s="3"/>
      <c r="S446" s="2"/>
      <c r="U446" s="2"/>
      <c r="BA446" s="4"/>
    </row>
    <row r="447" ht="15.75" customHeight="1">
      <c r="C447" s="2"/>
      <c r="E447" s="2"/>
      <c r="G447" s="2"/>
      <c r="R447" s="3"/>
      <c r="S447" s="2"/>
      <c r="U447" s="2"/>
      <c r="BA447" s="4"/>
    </row>
    <row r="448" ht="15.75" customHeight="1">
      <c r="C448" s="2"/>
      <c r="E448" s="2"/>
      <c r="G448" s="2"/>
      <c r="R448" s="3"/>
      <c r="S448" s="2"/>
      <c r="U448" s="2"/>
      <c r="BA448" s="4"/>
    </row>
    <row r="449" ht="15.75" customHeight="1">
      <c r="C449" s="2"/>
      <c r="E449" s="2"/>
      <c r="G449" s="2"/>
      <c r="R449" s="3"/>
      <c r="S449" s="2"/>
      <c r="U449" s="2"/>
      <c r="BA449" s="4"/>
    </row>
    <row r="450" ht="15.75" customHeight="1">
      <c r="C450" s="2"/>
      <c r="E450" s="2"/>
      <c r="G450" s="2"/>
      <c r="R450" s="3"/>
      <c r="S450" s="2"/>
      <c r="U450" s="2"/>
      <c r="BA450" s="4"/>
    </row>
    <row r="451" ht="15.75" customHeight="1">
      <c r="C451" s="2"/>
      <c r="E451" s="2"/>
      <c r="G451" s="2"/>
      <c r="R451" s="3"/>
      <c r="S451" s="2"/>
      <c r="U451" s="2"/>
      <c r="BA451" s="4"/>
    </row>
    <row r="452" ht="15.75" customHeight="1">
      <c r="C452" s="2"/>
      <c r="E452" s="2"/>
      <c r="G452" s="2"/>
      <c r="R452" s="3"/>
      <c r="S452" s="2"/>
      <c r="U452" s="2"/>
      <c r="BA452" s="4"/>
    </row>
    <row r="453" ht="15.75" customHeight="1">
      <c r="C453" s="2"/>
      <c r="E453" s="2"/>
      <c r="G453" s="2"/>
      <c r="R453" s="3"/>
      <c r="S453" s="2"/>
      <c r="U453" s="2"/>
      <c r="BA453" s="4"/>
    </row>
    <row r="454" ht="15.75" customHeight="1">
      <c r="C454" s="2"/>
      <c r="E454" s="2"/>
      <c r="G454" s="2"/>
      <c r="R454" s="3"/>
      <c r="S454" s="2"/>
      <c r="U454" s="2"/>
      <c r="BA454" s="4"/>
    </row>
    <row r="455" ht="15.75" customHeight="1">
      <c r="C455" s="2"/>
      <c r="E455" s="2"/>
      <c r="G455" s="2"/>
      <c r="R455" s="3"/>
      <c r="S455" s="2"/>
      <c r="U455" s="2"/>
      <c r="BA455" s="4"/>
    </row>
    <row r="456" ht="15.75" customHeight="1">
      <c r="C456" s="2"/>
      <c r="E456" s="2"/>
      <c r="G456" s="2"/>
      <c r="R456" s="3"/>
      <c r="S456" s="2"/>
      <c r="U456" s="2"/>
      <c r="BA456" s="4"/>
    </row>
    <row r="457" ht="15.75" customHeight="1">
      <c r="C457" s="2"/>
      <c r="E457" s="2"/>
      <c r="G457" s="2"/>
      <c r="R457" s="3"/>
      <c r="S457" s="2"/>
      <c r="U457" s="2"/>
      <c r="BA457" s="4"/>
    </row>
    <row r="458" ht="15.75" customHeight="1">
      <c r="C458" s="2"/>
      <c r="E458" s="2"/>
      <c r="G458" s="2"/>
      <c r="R458" s="3"/>
      <c r="S458" s="2"/>
      <c r="U458" s="2"/>
      <c r="BA458" s="4"/>
    </row>
    <row r="459" ht="15.75" customHeight="1">
      <c r="C459" s="2"/>
      <c r="E459" s="2"/>
      <c r="G459" s="2"/>
      <c r="R459" s="3"/>
      <c r="S459" s="2"/>
      <c r="U459" s="2"/>
      <c r="BA459" s="4"/>
    </row>
    <row r="460" ht="15.75" customHeight="1">
      <c r="C460" s="2"/>
      <c r="E460" s="2"/>
      <c r="G460" s="2"/>
      <c r="R460" s="3"/>
      <c r="S460" s="2"/>
      <c r="U460" s="2"/>
      <c r="BA460" s="4"/>
    </row>
    <row r="461" ht="15.75" customHeight="1">
      <c r="C461" s="2"/>
      <c r="E461" s="2"/>
      <c r="G461" s="2"/>
      <c r="R461" s="3"/>
      <c r="S461" s="2"/>
      <c r="U461" s="2"/>
      <c r="BA461" s="4"/>
    </row>
    <row r="462" ht="15.75" customHeight="1">
      <c r="C462" s="2"/>
      <c r="E462" s="2"/>
      <c r="G462" s="2"/>
      <c r="R462" s="3"/>
      <c r="S462" s="2"/>
      <c r="U462" s="2"/>
      <c r="BA462" s="4"/>
    </row>
    <row r="463" ht="15.75" customHeight="1">
      <c r="C463" s="2"/>
      <c r="E463" s="2"/>
      <c r="G463" s="2"/>
      <c r="R463" s="3"/>
      <c r="S463" s="2"/>
      <c r="U463" s="2"/>
      <c r="BA463" s="4"/>
    </row>
    <row r="464" ht="15.75" customHeight="1">
      <c r="C464" s="2"/>
      <c r="E464" s="2"/>
      <c r="G464" s="2"/>
      <c r="R464" s="3"/>
      <c r="S464" s="2"/>
      <c r="U464" s="2"/>
      <c r="BA464" s="4"/>
    </row>
    <row r="465" ht="15.75" customHeight="1">
      <c r="C465" s="2"/>
      <c r="E465" s="2"/>
      <c r="G465" s="2"/>
      <c r="R465" s="3"/>
      <c r="S465" s="2"/>
      <c r="U465" s="2"/>
      <c r="BA465" s="4"/>
    </row>
    <row r="466" ht="15.75" customHeight="1">
      <c r="C466" s="2"/>
      <c r="E466" s="2"/>
      <c r="G466" s="2"/>
      <c r="R466" s="3"/>
      <c r="S466" s="2"/>
      <c r="U466" s="2"/>
      <c r="BA466" s="4"/>
    </row>
    <row r="467" ht="15.75" customHeight="1">
      <c r="C467" s="2"/>
      <c r="E467" s="2"/>
      <c r="G467" s="2"/>
      <c r="R467" s="3"/>
      <c r="S467" s="2"/>
      <c r="U467" s="2"/>
      <c r="BA467" s="4"/>
    </row>
    <row r="468" ht="15.75" customHeight="1">
      <c r="C468" s="2"/>
      <c r="E468" s="2"/>
      <c r="G468" s="2"/>
      <c r="R468" s="3"/>
      <c r="S468" s="2"/>
      <c r="U468" s="2"/>
      <c r="BA468" s="4"/>
    </row>
    <row r="469" ht="15.75" customHeight="1">
      <c r="C469" s="2"/>
      <c r="E469" s="2"/>
      <c r="G469" s="2"/>
      <c r="R469" s="3"/>
      <c r="S469" s="2"/>
      <c r="U469" s="2"/>
      <c r="BA469" s="4"/>
    </row>
    <row r="470" ht="15.75" customHeight="1">
      <c r="C470" s="2"/>
      <c r="E470" s="2"/>
      <c r="G470" s="2"/>
      <c r="R470" s="3"/>
      <c r="S470" s="2"/>
      <c r="U470" s="2"/>
      <c r="BA470" s="4"/>
    </row>
    <row r="471" ht="15.75" customHeight="1">
      <c r="C471" s="2"/>
      <c r="E471" s="2"/>
      <c r="G471" s="2"/>
      <c r="R471" s="3"/>
      <c r="S471" s="2"/>
      <c r="U471" s="2"/>
      <c r="BA471" s="4"/>
    </row>
    <row r="472" ht="15.75" customHeight="1">
      <c r="C472" s="2"/>
      <c r="E472" s="2"/>
      <c r="G472" s="2"/>
      <c r="R472" s="3"/>
      <c r="S472" s="2"/>
      <c r="U472" s="2"/>
      <c r="BA472" s="4"/>
    </row>
    <row r="473" ht="15.75" customHeight="1">
      <c r="C473" s="2"/>
      <c r="E473" s="2"/>
      <c r="G473" s="2"/>
      <c r="R473" s="3"/>
      <c r="S473" s="2"/>
      <c r="U473" s="2"/>
      <c r="BA473" s="4"/>
    </row>
    <row r="474" ht="15.75" customHeight="1">
      <c r="C474" s="2"/>
      <c r="E474" s="2"/>
      <c r="G474" s="2"/>
      <c r="R474" s="3"/>
      <c r="S474" s="2"/>
      <c r="U474" s="2"/>
      <c r="BA474" s="4"/>
    </row>
    <row r="475" ht="15.75" customHeight="1">
      <c r="C475" s="2"/>
      <c r="E475" s="2"/>
      <c r="G475" s="2"/>
      <c r="R475" s="3"/>
      <c r="S475" s="2"/>
      <c r="U475" s="2"/>
      <c r="BA475" s="4"/>
    </row>
    <row r="476" ht="15.75" customHeight="1">
      <c r="C476" s="2"/>
      <c r="E476" s="2"/>
      <c r="G476" s="2"/>
      <c r="R476" s="3"/>
      <c r="S476" s="2"/>
      <c r="U476" s="2"/>
      <c r="BA476" s="4"/>
    </row>
    <row r="477" ht="15.75" customHeight="1">
      <c r="C477" s="2"/>
      <c r="E477" s="2"/>
      <c r="G477" s="2"/>
      <c r="R477" s="3"/>
      <c r="S477" s="2"/>
      <c r="U477" s="2"/>
      <c r="BA477" s="4"/>
    </row>
    <row r="478" ht="15.75" customHeight="1">
      <c r="C478" s="2"/>
      <c r="E478" s="2"/>
      <c r="G478" s="2"/>
      <c r="R478" s="3"/>
      <c r="S478" s="2"/>
      <c r="U478" s="2"/>
      <c r="BA478" s="4"/>
    </row>
    <row r="479" ht="15.75" customHeight="1">
      <c r="C479" s="2"/>
      <c r="E479" s="2"/>
      <c r="G479" s="2"/>
      <c r="R479" s="3"/>
      <c r="S479" s="2"/>
      <c r="U479" s="2"/>
      <c r="BA479" s="4"/>
    </row>
    <row r="480" ht="15.75" customHeight="1">
      <c r="C480" s="2"/>
      <c r="E480" s="2"/>
      <c r="G480" s="2"/>
      <c r="R480" s="3"/>
      <c r="S480" s="2"/>
      <c r="U480" s="2"/>
      <c r="BA480" s="4"/>
    </row>
    <row r="481" ht="15.75" customHeight="1">
      <c r="C481" s="2"/>
      <c r="E481" s="2"/>
      <c r="G481" s="2"/>
      <c r="R481" s="3"/>
      <c r="S481" s="2"/>
      <c r="U481" s="2"/>
      <c r="BA481" s="4"/>
    </row>
    <row r="482" ht="15.75" customHeight="1">
      <c r="C482" s="2"/>
      <c r="E482" s="2"/>
      <c r="G482" s="2"/>
      <c r="R482" s="3"/>
      <c r="S482" s="2"/>
      <c r="U482" s="2"/>
      <c r="BA482" s="4"/>
    </row>
    <row r="483" ht="15.75" customHeight="1">
      <c r="C483" s="2"/>
      <c r="E483" s="2"/>
      <c r="G483" s="2"/>
      <c r="R483" s="3"/>
      <c r="S483" s="2"/>
      <c r="U483" s="2"/>
      <c r="BA483" s="4"/>
    </row>
    <row r="484" ht="15.75" customHeight="1">
      <c r="C484" s="2"/>
      <c r="E484" s="2"/>
      <c r="G484" s="2"/>
      <c r="R484" s="3"/>
      <c r="S484" s="2"/>
      <c r="U484" s="2"/>
      <c r="BA484" s="4"/>
    </row>
    <row r="485" ht="15.75" customHeight="1">
      <c r="C485" s="2"/>
      <c r="E485" s="2"/>
      <c r="G485" s="2"/>
      <c r="R485" s="3"/>
      <c r="S485" s="2"/>
      <c r="U485" s="2"/>
      <c r="BA485" s="4"/>
    </row>
    <row r="486" ht="15.75" customHeight="1">
      <c r="C486" s="2"/>
      <c r="E486" s="2"/>
      <c r="G486" s="2"/>
      <c r="R486" s="3"/>
      <c r="S486" s="2"/>
      <c r="U486" s="2"/>
      <c r="BA486" s="4"/>
    </row>
    <row r="487" ht="15.75" customHeight="1">
      <c r="C487" s="2"/>
      <c r="E487" s="2"/>
      <c r="G487" s="2"/>
      <c r="R487" s="3"/>
      <c r="S487" s="2"/>
      <c r="U487" s="2"/>
      <c r="BA487" s="4"/>
    </row>
    <row r="488" ht="15.75" customHeight="1">
      <c r="C488" s="2"/>
      <c r="E488" s="2"/>
      <c r="G488" s="2"/>
      <c r="R488" s="3"/>
      <c r="S488" s="2"/>
      <c r="U488" s="2"/>
      <c r="BA488" s="4"/>
    </row>
    <row r="489" ht="15.75" customHeight="1">
      <c r="C489" s="2"/>
      <c r="E489" s="2"/>
      <c r="G489" s="2"/>
      <c r="R489" s="3"/>
      <c r="S489" s="2"/>
      <c r="U489" s="2"/>
      <c r="BA489" s="4"/>
    </row>
    <row r="490" ht="15.75" customHeight="1">
      <c r="C490" s="2"/>
      <c r="E490" s="2"/>
      <c r="G490" s="2"/>
      <c r="R490" s="3"/>
      <c r="S490" s="2"/>
      <c r="U490" s="2"/>
      <c r="BA490" s="4"/>
    </row>
    <row r="491" ht="15.75" customHeight="1">
      <c r="C491" s="2"/>
      <c r="E491" s="2"/>
      <c r="G491" s="2"/>
      <c r="R491" s="3"/>
      <c r="S491" s="2"/>
      <c r="U491" s="2"/>
      <c r="BA491" s="4"/>
    </row>
    <row r="492" ht="15.75" customHeight="1">
      <c r="C492" s="2"/>
      <c r="E492" s="2"/>
      <c r="G492" s="2"/>
      <c r="R492" s="3"/>
      <c r="S492" s="2"/>
      <c r="U492" s="2"/>
      <c r="BA492" s="4"/>
    </row>
    <row r="493" ht="15.75" customHeight="1">
      <c r="C493" s="2"/>
      <c r="E493" s="2"/>
      <c r="G493" s="2"/>
      <c r="R493" s="3"/>
      <c r="S493" s="2"/>
      <c r="U493" s="2"/>
      <c r="BA493" s="4"/>
    </row>
    <row r="494" ht="15.75" customHeight="1">
      <c r="C494" s="2"/>
      <c r="E494" s="2"/>
      <c r="G494" s="2"/>
      <c r="R494" s="3"/>
      <c r="S494" s="2"/>
      <c r="U494" s="2"/>
      <c r="BA494" s="4"/>
    </row>
    <row r="495" ht="15.75" customHeight="1">
      <c r="C495" s="2"/>
      <c r="E495" s="2"/>
      <c r="G495" s="2"/>
      <c r="R495" s="3"/>
      <c r="S495" s="2"/>
      <c r="U495" s="2"/>
      <c r="BA495" s="4"/>
    </row>
    <row r="496" ht="15.75" customHeight="1">
      <c r="C496" s="2"/>
      <c r="E496" s="2"/>
      <c r="G496" s="2"/>
      <c r="R496" s="3"/>
      <c r="S496" s="2"/>
      <c r="U496" s="2"/>
      <c r="BA496" s="4"/>
    </row>
    <row r="497" ht="15.75" customHeight="1">
      <c r="C497" s="2"/>
      <c r="E497" s="2"/>
      <c r="G497" s="2"/>
      <c r="R497" s="3"/>
      <c r="S497" s="2"/>
      <c r="U497" s="2"/>
      <c r="BA497" s="4"/>
    </row>
    <row r="498" ht="15.75" customHeight="1">
      <c r="C498" s="2"/>
      <c r="E498" s="2"/>
      <c r="G498" s="2"/>
      <c r="R498" s="3"/>
      <c r="S498" s="2"/>
      <c r="U498" s="2"/>
      <c r="BA498" s="4"/>
    </row>
    <row r="499" ht="15.75" customHeight="1">
      <c r="C499" s="2"/>
      <c r="E499" s="2"/>
      <c r="G499" s="2"/>
      <c r="R499" s="3"/>
      <c r="S499" s="2"/>
      <c r="U499" s="2"/>
      <c r="BA499" s="4"/>
    </row>
    <row r="500" ht="15.75" customHeight="1">
      <c r="C500" s="2"/>
      <c r="E500" s="2"/>
      <c r="G500" s="2"/>
      <c r="R500" s="3"/>
      <c r="S500" s="2"/>
      <c r="U500" s="2"/>
      <c r="BA500" s="4"/>
    </row>
    <row r="501" ht="15.75" customHeight="1">
      <c r="C501" s="2"/>
      <c r="E501" s="2"/>
      <c r="G501" s="2"/>
      <c r="R501" s="3"/>
      <c r="S501" s="2"/>
      <c r="U501" s="2"/>
      <c r="BA501" s="4"/>
    </row>
    <row r="502" ht="15.75" customHeight="1">
      <c r="C502" s="2"/>
      <c r="E502" s="2"/>
      <c r="G502" s="2"/>
      <c r="R502" s="3"/>
      <c r="S502" s="2"/>
      <c r="U502" s="2"/>
      <c r="BA502" s="4"/>
    </row>
    <row r="503" ht="15.75" customHeight="1">
      <c r="C503" s="2"/>
      <c r="E503" s="2"/>
      <c r="G503" s="2"/>
      <c r="R503" s="3"/>
      <c r="S503" s="2"/>
      <c r="U503" s="2"/>
      <c r="BA503" s="4"/>
    </row>
    <row r="504" ht="15.75" customHeight="1">
      <c r="C504" s="2"/>
      <c r="E504" s="2"/>
      <c r="G504" s="2"/>
      <c r="R504" s="3"/>
      <c r="S504" s="2"/>
      <c r="U504" s="2"/>
      <c r="BA504" s="4"/>
    </row>
    <row r="505" ht="15.75" customHeight="1">
      <c r="C505" s="2"/>
      <c r="E505" s="2"/>
      <c r="G505" s="2"/>
      <c r="R505" s="3"/>
      <c r="S505" s="2"/>
      <c r="U505" s="2"/>
      <c r="BA505" s="4"/>
    </row>
    <row r="506" ht="15.75" customHeight="1">
      <c r="C506" s="2"/>
      <c r="E506" s="2"/>
      <c r="G506" s="2"/>
      <c r="R506" s="3"/>
      <c r="S506" s="2"/>
      <c r="U506" s="2"/>
      <c r="BA506" s="4"/>
    </row>
    <row r="507" ht="15.75" customHeight="1">
      <c r="C507" s="2"/>
      <c r="E507" s="2"/>
      <c r="G507" s="2"/>
      <c r="R507" s="3"/>
      <c r="S507" s="2"/>
      <c r="U507" s="2"/>
      <c r="BA507" s="4"/>
    </row>
    <row r="508" ht="15.75" customHeight="1">
      <c r="C508" s="2"/>
      <c r="E508" s="2"/>
      <c r="G508" s="2"/>
      <c r="R508" s="3"/>
      <c r="S508" s="2"/>
      <c r="U508" s="2"/>
      <c r="BA508" s="4"/>
    </row>
    <row r="509" ht="15.75" customHeight="1">
      <c r="C509" s="2"/>
      <c r="E509" s="2"/>
      <c r="G509" s="2"/>
      <c r="R509" s="3"/>
      <c r="S509" s="2"/>
      <c r="U509" s="2"/>
      <c r="BA509" s="4"/>
    </row>
    <row r="510" ht="15.75" customHeight="1">
      <c r="C510" s="2"/>
      <c r="E510" s="2"/>
      <c r="G510" s="2"/>
      <c r="R510" s="3"/>
      <c r="S510" s="2"/>
      <c r="U510" s="2"/>
      <c r="BA510" s="4"/>
    </row>
    <row r="511" ht="15.75" customHeight="1">
      <c r="C511" s="2"/>
      <c r="E511" s="2"/>
      <c r="G511" s="2"/>
      <c r="R511" s="3"/>
      <c r="S511" s="2"/>
      <c r="U511" s="2"/>
      <c r="BA511" s="4"/>
    </row>
    <row r="512" ht="15.75" customHeight="1">
      <c r="C512" s="2"/>
      <c r="E512" s="2"/>
      <c r="G512" s="2"/>
      <c r="R512" s="3"/>
      <c r="S512" s="2"/>
      <c r="U512" s="2"/>
      <c r="BA512" s="4"/>
    </row>
    <row r="513" ht="15.75" customHeight="1">
      <c r="C513" s="2"/>
      <c r="E513" s="2"/>
      <c r="G513" s="2"/>
      <c r="R513" s="3"/>
      <c r="S513" s="2"/>
      <c r="U513" s="2"/>
      <c r="BA513" s="4"/>
    </row>
    <row r="514" ht="15.75" customHeight="1">
      <c r="C514" s="2"/>
      <c r="E514" s="2"/>
      <c r="G514" s="2"/>
      <c r="R514" s="3"/>
      <c r="S514" s="2"/>
      <c r="U514" s="2"/>
      <c r="BA514" s="4"/>
    </row>
    <row r="515" ht="15.75" customHeight="1">
      <c r="C515" s="2"/>
      <c r="E515" s="2"/>
      <c r="G515" s="2"/>
      <c r="R515" s="3"/>
      <c r="S515" s="2"/>
      <c r="U515" s="2"/>
      <c r="BA515" s="4"/>
    </row>
    <row r="516" ht="15.75" customHeight="1">
      <c r="C516" s="2"/>
      <c r="E516" s="2"/>
      <c r="G516" s="2"/>
      <c r="R516" s="3"/>
      <c r="S516" s="2"/>
      <c r="U516" s="2"/>
      <c r="BA516" s="4"/>
    </row>
    <row r="517" ht="15.75" customHeight="1">
      <c r="C517" s="2"/>
      <c r="E517" s="2"/>
      <c r="G517" s="2"/>
      <c r="R517" s="3"/>
      <c r="S517" s="2"/>
      <c r="U517" s="2"/>
      <c r="BA517" s="4"/>
    </row>
    <row r="518" ht="15.75" customHeight="1">
      <c r="C518" s="2"/>
      <c r="E518" s="2"/>
      <c r="G518" s="2"/>
      <c r="R518" s="3"/>
      <c r="S518" s="2"/>
      <c r="U518" s="2"/>
      <c r="BA518" s="4"/>
    </row>
    <row r="519" ht="15.75" customHeight="1">
      <c r="C519" s="2"/>
      <c r="E519" s="2"/>
      <c r="G519" s="2"/>
      <c r="R519" s="3"/>
      <c r="S519" s="2"/>
      <c r="U519" s="2"/>
      <c r="BA519" s="4"/>
    </row>
    <row r="520" ht="15.75" customHeight="1">
      <c r="C520" s="2"/>
      <c r="E520" s="2"/>
      <c r="G520" s="2"/>
      <c r="R520" s="3"/>
      <c r="S520" s="2"/>
      <c r="U520" s="2"/>
      <c r="BA520" s="4"/>
    </row>
    <row r="521" ht="15.75" customHeight="1">
      <c r="C521" s="2"/>
      <c r="E521" s="2"/>
      <c r="G521" s="2"/>
      <c r="R521" s="3"/>
      <c r="S521" s="2"/>
      <c r="U521" s="2"/>
      <c r="BA521" s="4"/>
    </row>
    <row r="522" ht="15.75" customHeight="1">
      <c r="C522" s="2"/>
      <c r="E522" s="2"/>
      <c r="G522" s="2"/>
      <c r="R522" s="3"/>
      <c r="S522" s="2"/>
      <c r="U522" s="2"/>
      <c r="BA522" s="4"/>
    </row>
    <row r="523" ht="15.75" customHeight="1">
      <c r="C523" s="2"/>
      <c r="E523" s="2"/>
      <c r="G523" s="2"/>
      <c r="R523" s="3"/>
      <c r="S523" s="2"/>
      <c r="U523" s="2"/>
      <c r="BA523" s="4"/>
    </row>
    <row r="524" ht="15.75" customHeight="1">
      <c r="C524" s="2"/>
      <c r="E524" s="2"/>
      <c r="G524" s="2"/>
      <c r="R524" s="3"/>
      <c r="S524" s="2"/>
      <c r="U524" s="2"/>
      <c r="BA524" s="4"/>
    </row>
    <row r="525" ht="15.75" customHeight="1">
      <c r="C525" s="2"/>
      <c r="E525" s="2"/>
      <c r="G525" s="2"/>
      <c r="R525" s="3"/>
      <c r="S525" s="2"/>
      <c r="U525" s="2"/>
      <c r="BA525" s="4"/>
    </row>
    <row r="526" ht="15.75" customHeight="1">
      <c r="C526" s="2"/>
      <c r="E526" s="2"/>
      <c r="G526" s="2"/>
      <c r="R526" s="3"/>
      <c r="S526" s="2"/>
      <c r="U526" s="2"/>
      <c r="BA526" s="4"/>
    </row>
    <row r="527" ht="15.75" customHeight="1">
      <c r="C527" s="2"/>
      <c r="E527" s="2"/>
      <c r="G527" s="2"/>
      <c r="R527" s="3"/>
      <c r="S527" s="2"/>
      <c r="U527" s="2"/>
      <c r="BA527" s="4"/>
    </row>
    <row r="528" ht="15.75" customHeight="1">
      <c r="C528" s="2"/>
      <c r="E528" s="2"/>
      <c r="G528" s="2"/>
      <c r="R528" s="3"/>
      <c r="S528" s="2"/>
      <c r="U528" s="2"/>
      <c r="BA528" s="4"/>
    </row>
    <row r="529" ht="15.75" customHeight="1">
      <c r="C529" s="2"/>
      <c r="E529" s="2"/>
      <c r="G529" s="2"/>
      <c r="R529" s="3"/>
      <c r="S529" s="2"/>
      <c r="U529" s="2"/>
      <c r="BA529" s="4"/>
    </row>
    <row r="530" ht="15.75" customHeight="1">
      <c r="C530" s="2"/>
      <c r="E530" s="2"/>
      <c r="G530" s="2"/>
      <c r="R530" s="3"/>
      <c r="S530" s="2"/>
      <c r="U530" s="2"/>
      <c r="BA530" s="4"/>
    </row>
    <row r="531" ht="15.75" customHeight="1">
      <c r="C531" s="2"/>
      <c r="E531" s="2"/>
      <c r="G531" s="2"/>
      <c r="R531" s="3"/>
      <c r="S531" s="2"/>
      <c r="U531" s="2"/>
      <c r="BA531" s="4"/>
    </row>
    <row r="532" ht="15.75" customHeight="1">
      <c r="C532" s="2"/>
      <c r="E532" s="2"/>
      <c r="G532" s="2"/>
      <c r="R532" s="3"/>
      <c r="S532" s="2"/>
      <c r="U532" s="2"/>
      <c r="BA532" s="4"/>
    </row>
    <row r="533" ht="15.75" customHeight="1">
      <c r="C533" s="2"/>
      <c r="E533" s="2"/>
      <c r="G533" s="2"/>
      <c r="R533" s="3"/>
      <c r="S533" s="2"/>
      <c r="U533" s="2"/>
      <c r="BA533" s="4"/>
    </row>
    <row r="534" ht="15.75" customHeight="1">
      <c r="C534" s="2"/>
      <c r="E534" s="2"/>
      <c r="G534" s="2"/>
      <c r="R534" s="3"/>
      <c r="S534" s="2"/>
      <c r="U534" s="2"/>
      <c r="BA534" s="4"/>
    </row>
    <row r="535" ht="15.75" customHeight="1">
      <c r="C535" s="2"/>
      <c r="E535" s="2"/>
      <c r="G535" s="2"/>
      <c r="R535" s="3"/>
      <c r="S535" s="2"/>
      <c r="U535" s="2"/>
      <c r="BA535" s="4"/>
    </row>
    <row r="536" ht="15.75" customHeight="1">
      <c r="C536" s="2"/>
      <c r="E536" s="2"/>
      <c r="G536" s="2"/>
      <c r="R536" s="3"/>
      <c r="S536" s="2"/>
      <c r="U536" s="2"/>
      <c r="BA536" s="4"/>
    </row>
    <row r="537" ht="15.75" customHeight="1">
      <c r="C537" s="2"/>
      <c r="E537" s="2"/>
      <c r="G537" s="2"/>
      <c r="R537" s="3"/>
      <c r="S537" s="2"/>
      <c r="U537" s="2"/>
      <c r="BA537" s="4"/>
    </row>
    <row r="538" ht="15.75" customHeight="1">
      <c r="C538" s="2"/>
      <c r="E538" s="2"/>
      <c r="G538" s="2"/>
      <c r="R538" s="3"/>
      <c r="S538" s="2"/>
      <c r="U538" s="2"/>
      <c r="BA538" s="4"/>
    </row>
    <row r="539" ht="15.75" customHeight="1">
      <c r="C539" s="2"/>
      <c r="E539" s="2"/>
      <c r="G539" s="2"/>
      <c r="R539" s="3"/>
      <c r="S539" s="2"/>
      <c r="U539" s="2"/>
      <c r="BA539" s="4"/>
    </row>
    <row r="540" ht="15.75" customHeight="1">
      <c r="C540" s="2"/>
      <c r="E540" s="2"/>
      <c r="G540" s="2"/>
      <c r="R540" s="3"/>
      <c r="S540" s="2"/>
      <c r="U540" s="2"/>
      <c r="BA540" s="4"/>
    </row>
    <row r="541" ht="15.75" customHeight="1">
      <c r="C541" s="2"/>
      <c r="E541" s="2"/>
      <c r="G541" s="2"/>
      <c r="R541" s="3"/>
      <c r="S541" s="2"/>
      <c r="U541" s="2"/>
      <c r="BA541" s="4"/>
    </row>
    <row r="542" ht="15.75" customHeight="1">
      <c r="C542" s="2"/>
      <c r="E542" s="2"/>
      <c r="G542" s="2"/>
      <c r="R542" s="3"/>
      <c r="S542" s="2"/>
      <c r="U542" s="2"/>
      <c r="BA542" s="4"/>
    </row>
    <row r="543" ht="15.75" customHeight="1">
      <c r="C543" s="2"/>
      <c r="E543" s="2"/>
      <c r="G543" s="2"/>
      <c r="R543" s="3"/>
      <c r="S543" s="2"/>
      <c r="U543" s="2"/>
      <c r="BA543" s="4"/>
    </row>
    <row r="544" ht="15.75" customHeight="1">
      <c r="C544" s="2"/>
      <c r="E544" s="2"/>
      <c r="G544" s="2"/>
      <c r="R544" s="3"/>
      <c r="S544" s="2"/>
      <c r="U544" s="2"/>
      <c r="BA544" s="4"/>
    </row>
    <row r="545" ht="15.75" customHeight="1">
      <c r="C545" s="2"/>
      <c r="E545" s="2"/>
      <c r="G545" s="2"/>
      <c r="R545" s="3"/>
      <c r="S545" s="2"/>
      <c r="U545" s="2"/>
      <c r="BA545" s="4"/>
    </row>
    <row r="546" ht="15.75" customHeight="1">
      <c r="C546" s="2"/>
      <c r="E546" s="2"/>
      <c r="G546" s="2"/>
      <c r="R546" s="3"/>
      <c r="S546" s="2"/>
      <c r="U546" s="2"/>
      <c r="BA546" s="4"/>
    </row>
    <row r="547" ht="15.75" customHeight="1">
      <c r="C547" s="2"/>
      <c r="E547" s="2"/>
      <c r="G547" s="2"/>
      <c r="R547" s="3"/>
      <c r="S547" s="2"/>
      <c r="U547" s="2"/>
      <c r="BA547" s="4"/>
    </row>
    <row r="548" ht="15.75" customHeight="1">
      <c r="C548" s="2"/>
      <c r="E548" s="2"/>
      <c r="G548" s="2"/>
      <c r="R548" s="3"/>
      <c r="S548" s="2"/>
      <c r="U548" s="2"/>
      <c r="BA548" s="4"/>
    </row>
    <row r="549" ht="15.75" customHeight="1">
      <c r="C549" s="2"/>
      <c r="E549" s="2"/>
      <c r="G549" s="2"/>
      <c r="R549" s="3"/>
      <c r="S549" s="2"/>
      <c r="U549" s="2"/>
      <c r="BA549" s="4"/>
    </row>
    <row r="550" ht="15.75" customHeight="1">
      <c r="C550" s="2"/>
      <c r="E550" s="2"/>
      <c r="G550" s="2"/>
      <c r="R550" s="3"/>
      <c r="S550" s="2"/>
      <c r="U550" s="2"/>
      <c r="BA550" s="4"/>
    </row>
    <row r="551" ht="15.75" customHeight="1">
      <c r="C551" s="2"/>
      <c r="E551" s="2"/>
      <c r="G551" s="2"/>
      <c r="R551" s="3"/>
      <c r="S551" s="2"/>
      <c r="U551" s="2"/>
      <c r="BA551" s="4"/>
    </row>
    <row r="552" ht="15.75" customHeight="1">
      <c r="C552" s="2"/>
      <c r="E552" s="2"/>
      <c r="G552" s="2"/>
      <c r="R552" s="3"/>
      <c r="S552" s="2"/>
      <c r="U552" s="2"/>
      <c r="BA552" s="4"/>
    </row>
    <row r="553" ht="15.75" customHeight="1">
      <c r="C553" s="2"/>
      <c r="E553" s="2"/>
      <c r="G553" s="2"/>
      <c r="R553" s="3"/>
      <c r="S553" s="2"/>
      <c r="U553" s="2"/>
      <c r="BA553" s="4"/>
    </row>
    <row r="554" ht="15.75" customHeight="1">
      <c r="C554" s="2"/>
      <c r="E554" s="2"/>
      <c r="G554" s="2"/>
      <c r="R554" s="3"/>
      <c r="S554" s="2"/>
      <c r="U554" s="2"/>
      <c r="BA554" s="4"/>
    </row>
    <row r="555" ht="15.75" customHeight="1">
      <c r="C555" s="2"/>
      <c r="E555" s="2"/>
      <c r="G555" s="2"/>
      <c r="R555" s="3"/>
      <c r="S555" s="2"/>
      <c r="U555" s="2"/>
      <c r="BA555" s="4"/>
    </row>
    <row r="556" ht="15.75" customHeight="1">
      <c r="C556" s="2"/>
      <c r="E556" s="2"/>
      <c r="G556" s="2"/>
      <c r="R556" s="3"/>
      <c r="S556" s="2"/>
      <c r="U556" s="2"/>
      <c r="BA556" s="4"/>
    </row>
    <row r="557" ht="15.75" customHeight="1">
      <c r="C557" s="2"/>
      <c r="E557" s="2"/>
      <c r="G557" s="2"/>
      <c r="R557" s="3"/>
      <c r="S557" s="2"/>
      <c r="U557" s="2"/>
      <c r="BA557" s="4"/>
    </row>
    <row r="558" ht="15.75" customHeight="1">
      <c r="C558" s="2"/>
      <c r="E558" s="2"/>
      <c r="G558" s="2"/>
      <c r="R558" s="3"/>
      <c r="S558" s="2"/>
      <c r="U558" s="2"/>
      <c r="BA558" s="4"/>
    </row>
    <row r="559" ht="15.75" customHeight="1">
      <c r="C559" s="2"/>
      <c r="E559" s="2"/>
      <c r="G559" s="2"/>
      <c r="R559" s="3"/>
      <c r="S559" s="2"/>
      <c r="U559" s="2"/>
      <c r="BA559" s="4"/>
    </row>
    <row r="560" ht="15.75" customHeight="1">
      <c r="C560" s="2"/>
      <c r="E560" s="2"/>
      <c r="G560" s="2"/>
      <c r="R560" s="3"/>
      <c r="S560" s="2"/>
      <c r="U560" s="2"/>
      <c r="BA560" s="4"/>
    </row>
    <row r="561" ht="15.75" customHeight="1">
      <c r="C561" s="2"/>
      <c r="E561" s="2"/>
      <c r="G561" s="2"/>
      <c r="R561" s="3"/>
      <c r="S561" s="2"/>
      <c r="U561" s="2"/>
      <c r="BA561" s="4"/>
    </row>
    <row r="562" ht="15.75" customHeight="1">
      <c r="C562" s="2"/>
      <c r="E562" s="2"/>
      <c r="G562" s="2"/>
      <c r="R562" s="3"/>
      <c r="S562" s="2"/>
      <c r="U562" s="2"/>
      <c r="BA562" s="4"/>
    </row>
    <row r="563" ht="15.75" customHeight="1">
      <c r="C563" s="2"/>
      <c r="E563" s="2"/>
      <c r="G563" s="2"/>
      <c r="R563" s="3"/>
      <c r="S563" s="2"/>
      <c r="U563" s="2"/>
      <c r="BA563" s="4"/>
    </row>
    <row r="564" ht="15.75" customHeight="1">
      <c r="C564" s="2"/>
      <c r="E564" s="2"/>
      <c r="G564" s="2"/>
      <c r="R564" s="3"/>
      <c r="S564" s="2"/>
      <c r="U564" s="2"/>
      <c r="BA564" s="4"/>
    </row>
    <row r="565" ht="15.75" customHeight="1">
      <c r="C565" s="2"/>
      <c r="E565" s="2"/>
      <c r="G565" s="2"/>
      <c r="R565" s="3"/>
      <c r="S565" s="2"/>
      <c r="U565" s="2"/>
      <c r="BA565" s="4"/>
    </row>
    <row r="566" ht="15.75" customHeight="1">
      <c r="C566" s="2"/>
      <c r="E566" s="2"/>
      <c r="G566" s="2"/>
      <c r="R566" s="3"/>
      <c r="S566" s="2"/>
      <c r="U566" s="2"/>
      <c r="BA566" s="4"/>
    </row>
    <row r="567" ht="15.75" customHeight="1">
      <c r="C567" s="2"/>
      <c r="E567" s="2"/>
      <c r="G567" s="2"/>
      <c r="R567" s="3"/>
      <c r="S567" s="2"/>
      <c r="U567" s="2"/>
      <c r="BA567" s="4"/>
    </row>
    <row r="568" ht="15.75" customHeight="1">
      <c r="C568" s="2"/>
      <c r="E568" s="2"/>
      <c r="G568" s="2"/>
      <c r="R568" s="3"/>
      <c r="S568" s="2"/>
      <c r="U568" s="2"/>
      <c r="BA568" s="4"/>
    </row>
    <row r="569" ht="15.75" customHeight="1">
      <c r="C569" s="2"/>
      <c r="E569" s="2"/>
      <c r="G569" s="2"/>
      <c r="R569" s="3"/>
      <c r="S569" s="2"/>
      <c r="U569" s="2"/>
      <c r="BA569" s="4"/>
    </row>
    <row r="570" ht="15.75" customHeight="1">
      <c r="C570" s="2"/>
      <c r="E570" s="2"/>
      <c r="G570" s="2"/>
      <c r="R570" s="3"/>
      <c r="S570" s="2"/>
      <c r="U570" s="2"/>
      <c r="BA570" s="4"/>
    </row>
    <row r="571" ht="15.75" customHeight="1">
      <c r="C571" s="2"/>
      <c r="E571" s="2"/>
      <c r="G571" s="2"/>
      <c r="R571" s="3"/>
      <c r="S571" s="2"/>
      <c r="U571" s="2"/>
      <c r="BA571" s="4"/>
    </row>
    <row r="572" ht="15.75" customHeight="1">
      <c r="C572" s="2"/>
      <c r="E572" s="2"/>
      <c r="G572" s="2"/>
      <c r="R572" s="3"/>
      <c r="S572" s="2"/>
      <c r="U572" s="2"/>
      <c r="BA572" s="4"/>
    </row>
    <row r="573" ht="15.75" customHeight="1">
      <c r="C573" s="2"/>
      <c r="E573" s="2"/>
      <c r="G573" s="2"/>
      <c r="R573" s="3"/>
      <c r="S573" s="2"/>
      <c r="U573" s="2"/>
      <c r="BA573" s="4"/>
    </row>
    <row r="574" ht="15.75" customHeight="1">
      <c r="C574" s="2"/>
      <c r="E574" s="2"/>
      <c r="G574" s="2"/>
      <c r="R574" s="3"/>
      <c r="S574" s="2"/>
      <c r="U574" s="2"/>
      <c r="BA574" s="4"/>
    </row>
    <row r="575" ht="15.75" customHeight="1">
      <c r="C575" s="2"/>
      <c r="E575" s="2"/>
      <c r="G575" s="2"/>
      <c r="R575" s="3"/>
      <c r="S575" s="2"/>
      <c r="U575" s="2"/>
      <c r="BA575" s="4"/>
    </row>
    <row r="576" ht="15.75" customHeight="1">
      <c r="C576" s="2"/>
      <c r="E576" s="2"/>
      <c r="G576" s="2"/>
      <c r="R576" s="3"/>
      <c r="S576" s="2"/>
      <c r="U576" s="2"/>
      <c r="BA576" s="4"/>
    </row>
    <row r="577" ht="15.75" customHeight="1">
      <c r="C577" s="2"/>
      <c r="E577" s="2"/>
      <c r="G577" s="2"/>
      <c r="R577" s="3"/>
      <c r="S577" s="2"/>
      <c r="U577" s="2"/>
      <c r="BA577" s="4"/>
    </row>
    <row r="578" ht="15.75" customHeight="1">
      <c r="C578" s="2"/>
      <c r="E578" s="2"/>
      <c r="G578" s="2"/>
      <c r="R578" s="3"/>
      <c r="S578" s="2"/>
      <c r="U578" s="2"/>
      <c r="BA578" s="4"/>
    </row>
    <row r="579" ht="15.75" customHeight="1">
      <c r="C579" s="2"/>
      <c r="E579" s="2"/>
      <c r="G579" s="2"/>
      <c r="R579" s="3"/>
      <c r="S579" s="2"/>
      <c r="U579" s="2"/>
      <c r="BA579" s="4"/>
    </row>
    <row r="580" ht="15.75" customHeight="1">
      <c r="C580" s="2"/>
      <c r="E580" s="2"/>
      <c r="G580" s="2"/>
      <c r="R580" s="3"/>
      <c r="S580" s="2"/>
      <c r="U580" s="2"/>
      <c r="BA580" s="4"/>
    </row>
    <row r="581" ht="15.75" customHeight="1">
      <c r="C581" s="2"/>
      <c r="E581" s="2"/>
      <c r="G581" s="2"/>
      <c r="R581" s="3"/>
      <c r="S581" s="2"/>
      <c r="U581" s="2"/>
      <c r="BA581" s="4"/>
    </row>
    <row r="582" ht="15.75" customHeight="1">
      <c r="C582" s="2"/>
      <c r="E582" s="2"/>
      <c r="G582" s="2"/>
      <c r="R582" s="3"/>
      <c r="S582" s="2"/>
      <c r="U582" s="2"/>
      <c r="BA582" s="4"/>
    </row>
    <row r="583" ht="15.75" customHeight="1">
      <c r="C583" s="2"/>
      <c r="E583" s="2"/>
      <c r="G583" s="2"/>
      <c r="R583" s="3"/>
      <c r="S583" s="2"/>
      <c r="U583" s="2"/>
      <c r="BA583" s="4"/>
    </row>
    <row r="584" ht="15.75" customHeight="1">
      <c r="C584" s="2"/>
      <c r="E584" s="2"/>
      <c r="G584" s="2"/>
      <c r="R584" s="3"/>
      <c r="S584" s="2"/>
      <c r="U584" s="2"/>
      <c r="BA584" s="4"/>
    </row>
    <row r="585" ht="15.75" customHeight="1">
      <c r="C585" s="2"/>
      <c r="E585" s="2"/>
      <c r="G585" s="2"/>
      <c r="R585" s="3"/>
      <c r="S585" s="2"/>
      <c r="U585" s="2"/>
      <c r="BA585" s="4"/>
    </row>
    <row r="586" ht="15.75" customHeight="1">
      <c r="C586" s="2"/>
      <c r="E586" s="2"/>
      <c r="G586" s="2"/>
      <c r="R586" s="3"/>
      <c r="S586" s="2"/>
      <c r="U586" s="2"/>
      <c r="BA586" s="4"/>
    </row>
    <row r="587" ht="15.75" customHeight="1">
      <c r="C587" s="2"/>
      <c r="E587" s="2"/>
      <c r="G587" s="2"/>
      <c r="R587" s="3"/>
      <c r="S587" s="2"/>
      <c r="U587" s="2"/>
      <c r="BA587" s="4"/>
    </row>
    <row r="588" ht="15.75" customHeight="1">
      <c r="C588" s="2"/>
      <c r="E588" s="2"/>
      <c r="G588" s="2"/>
      <c r="R588" s="3"/>
      <c r="S588" s="2"/>
      <c r="U588" s="2"/>
      <c r="BA588" s="4"/>
    </row>
    <row r="589" ht="15.75" customHeight="1">
      <c r="C589" s="2"/>
      <c r="E589" s="2"/>
      <c r="G589" s="2"/>
      <c r="R589" s="3"/>
      <c r="S589" s="2"/>
      <c r="U589" s="2"/>
      <c r="BA589" s="4"/>
    </row>
    <row r="590" ht="15.75" customHeight="1">
      <c r="C590" s="2"/>
      <c r="E590" s="2"/>
      <c r="G590" s="2"/>
      <c r="R590" s="3"/>
      <c r="S590" s="2"/>
      <c r="U590" s="2"/>
      <c r="BA590" s="4"/>
    </row>
    <row r="591" ht="15.75" customHeight="1">
      <c r="C591" s="2"/>
      <c r="E591" s="2"/>
      <c r="G591" s="2"/>
      <c r="R591" s="3"/>
      <c r="S591" s="2"/>
      <c r="U591" s="2"/>
      <c r="BA591" s="4"/>
    </row>
    <row r="592" ht="15.75" customHeight="1">
      <c r="C592" s="2"/>
      <c r="E592" s="2"/>
      <c r="G592" s="2"/>
      <c r="R592" s="3"/>
      <c r="S592" s="2"/>
      <c r="U592" s="2"/>
      <c r="BA592" s="4"/>
    </row>
    <row r="593" ht="15.75" customHeight="1">
      <c r="C593" s="2"/>
      <c r="E593" s="2"/>
      <c r="G593" s="2"/>
      <c r="R593" s="3"/>
      <c r="S593" s="2"/>
      <c r="U593" s="2"/>
      <c r="BA593" s="4"/>
    </row>
    <row r="594" ht="15.75" customHeight="1">
      <c r="C594" s="2"/>
      <c r="E594" s="2"/>
      <c r="G594" s="2"/>
      <c r="R594" s="3"/>
      <c r="S594" s="2"/>
      <c r="U594" s="2"/>
      <c r="BA594" s="4"/>
    </row>
    <row r="595" ht="15.75" customHeight="1">
      <c r="C595" s="2"/>
      <c r="E595" s="2"/>
      <c r="G595" s="2"/>
      <c r="R595" s="3"/>
      <c r="S595" s="2"/>
      <c r="U595" s="2"/>
      <c r="BA595" s="4"/>
    </row>
    <row r="596" ht="15.75" customHeight="1">
      <c r="C596" s="2"/>
      <c r="E596" s="2"/>
      <c r="G596" s="2"/>
      <c r="R596" s="3"/>
      <c r="S596" s="2"/>
      <c r="U596" s="2"/>
      <c r="BA596" s="4"/>
    </row>
    <row r="597" ht="15.75" customHeight="1">
      <c r="C597" s="2"/>
      <c r="E597" s="2"/>
      <c r="G597" s="2"/>
      <c r="R597" s="3"/>
      <c r="S597" s="2"/>
      <c r="U597" s="2"/>
      <c r="BA597" s="4"/>
    </row>
    <row r="598" ht="15.75" customHeight="1">
      <c r="C598" s="2"/>
      <c r="E598" s="2"/>
      <c r="G598" s="2"/>
      <c r="R598" s="3"/>
      <c r="S598" s="2"/>
      <c r="U598" s="2"/>
      <c r="BA598" s="4"/>
    </row>
    <row r="599" ht="15.75" customHeight="1">
      <c r="C599" s="2"/>
      <c r="E599" s="2"/>
      <c r="G599" s="2"/>
      <c r="R599" s="3"/>
      <c r="S599" s="2"/>
      <c r="U599" s="2"/>
      <c r="BA599" s="4"/>
    </row>
    <row r="600" ht="15.75" customHeight="1">
      <c r="C600" s="2"/>
      <c r="E600" s="2"/>
      <c r="G600" s="2"/>
      <c r="R600" s="3"/>
      <c r="S600" s="2"/>
      <c r="U600" s="2"/>
      <c r="BA600" s="4"/>
    </row>
    <row r="601" ht="15.75" customHeight="1">
      <c r="C601" s="2"/>
      <c r="E601" s="2"/>
      <c r="G601" s="2"/>
      <c r="R601" s="3"/>
      <c r="S601" s="2"/>
      <c r="U601" s="2"/>
      <c r="BA601" s="4"/>
    </row>
    <row r="602" ht="15.75" customHeight="1">
      <c r="C602" s="2"/>
      <c r="E602" s="2"/>
      <c r="G602" s="2"/>
      <c r="R602" s="3"/>
      <c r="S602" s="2"/>
      <c r="U602" s="2"/>
      <c r="BA602" s="4"/>
    </row>
    <row r="603" ht="15.75" customHeight="1">
      <c r="C603" s="2"/>
      <c r="E603" s="2"/>
      <c r="G603" s="2"/>
      <c r="R603" s="3"/>
      <c r="S603" s="2"/>
      <c r="U603" s="2"/>
      <c r="BA603" s="4"/>
    </row>
    <row r="604" ht="15.75" customHeight="1">
      <c r="C604" s="2"/>
      <c r="E604" s="2"/>
      <c r="G604" s="2"/>
      <c r="R604" s="3"/>
      <c r="S604" s="2"/>
      <c r="U604" s="2"/>
      <c r="BA604" s="4"/>
    </row>
    <row r="605" ht="15.75" customHeight="1">
      <c r="C605" s="2"/>
      <c r="E605" s="2"/>
      <c r="G605" s="2"/>
      <c r="R605" s="3"/>
      <c r="S605" s="2"/>
      <c r="U605" s="2"/>
      <c r="BA605" s="4"/>
    </row>
    <row r="606" ht="15.75" customHeight="1">
      <c r="C606" s="2"/>
      <c r="E606" s="2"/>
      <c r="G606" s="2"/>
      <c r="R606" s="3"/>
      <c r="S606" s="2"/>
      <c r="U606" s="2"/>
      <c r="BA606" s="4"/>
    </row>
    <row r="607" ht="15.75" customHeight="1">
      <c r="C607" s="2"/>
      <c r="E607" s="2"/>
      <c r="G607" s="2"/>
      <c r="R607" s="3"/>
      <c r="S607" s="2"/>
      <c r="U607" s="2"/>
      <c r="BA607" s="4"/>
    </row>
    <row r="608" ht="15.75" customHeight="1">
      <c r="C608" s="2"/>
      <c r="E608" s="2"/>
      <c r="G608" s="2"/>
      <c r="R608" s="3"/>
      <c r="S608" s="2"/>
      <c r="U608" s="2"/>
      <c r="BA608" s="4"/>
    </row>
    <row r="609" ht="15.75" customHeight="1">
      <c r="C609" s="2"/>
      <c r="E609" s="2"/>
      <c r="G609" s="2"/>
      <c r="R609" s="3"/>
      <c r="S609" s="2"/>
      <c r="U609" s="2"/>
      <c r="BA609" s="4"/>
    </row>
    <row r="610" ht="15.75" customHeight="1">
      <c r="C610" s="2"/>
      <c r="E610" s="2"/>
      <c r="G610" s="2"/>
      <c r="R610" s="3"/>
      <c r="S610" s="2"/>
      <c r="U610" s="2"/>
      <c r="BA610" s="4"/>
    </row>
    <row r="611" ht="15.75" customHeight="1">
      <c r="C611" s="2"/>
      <c r="E611" s="2"/>
      <c r="G611" s="2"/>
      <c r="R611" s="3"/>
      <c r="S611" s="2"/>
      <c r="U611" s="2"/>
      <c r="BA611" s="4"/>
    </row>
    <row r="612" ht="15.75" customHeight="1">
      <c r="C612" s="2"/>
      <c r="E612" s="2"/>
      <c r="G612" s="2"/>
      <c r="R612" s="3"/>
      <c r="S612" s="2"/>
      <c r="U612" s="2"/>
      <c r="BA612" s="4"/>
    </row>
    <row r="613" ht="15.75" customHeight="1">
      <c r="C613" s="2"/>
      <c r="E613" s="2"/>
      <c r="G613" s="2"/>
      <c r="R613" s="3"/>
      <c r="S613" s="2"/>
      <c r="U613" s="2"/>
      <c r="BA613" s="4"/>
    </row>
    <row r="614" ht="15.75" customHeight="1">
      <c r="C614" s="2"/>
      <c r="E614" s="2"/>
      <c r="G614" s="2"/>
      <c r="R614" s="3"/>
      <c r="S614" s="2"/>
      <c r="U614" s="2"/>
      <c r="BA614" s="4"/>
    </row>
    <row r="615" ht="15.75" customHeight="1">
      <c r="C615" s="2"/>
      <c r="E615" s="2"/>
      <c r="G615" s="2"/>
      <c r="R615" s="3"/>
      <c r="S615" s="2"/>
      <c r="U615" s="2"/>
      <c r="BA615" s="4"/>
    </row>
    <row r="616" ht="15.75" customHeight="1">
      <c r="C616" s="2"/>
      <c r="E616" s="2"/>
      <c r="G616" s="2"/>
      <c r="R616" s="3"/>
      <c r="S616" s="2"/>
      <c r="U616" s="2"/>
      <c r="BA616" s="4"/>
    </row>
    <row r="617" ht="15.75" customHeight="1">
      <c r="C617" s="2"/>
      <c r="E617" s="2"/>
      <c r="G617" s="2"/>
      <c r="R617" s="3"/>
      <c r="S617" s="2"/>
      <c r="U617" s="2"/>
      <c r="BA617" s="4"/>
    </row>
    <row r="618" ht="15.75" customHeight="1">
      <c r="C618" s="2"/>
      <c r="E618" s="2"/>
      <c r="G618" s="2"/>
      <c r="R618" s="3"/>
      <c r="S618" s="2"/>
      <c r="U618" s="2"/>
      <c r="BA618" s="4"/>
    </row>
    <row r="619" ht="15.75" customHeight="1">
      <c r="C619" s="2"/>
      <c r="E619" s="2"/>
      <c r="G619" s="2"/>
      <c r="R619" s="3"/>
      <c r="S619" s="2"/>
      <c r="U619" s="2"/>
      <c r="BA619" s="4"/>
    </row>
    <row r="620" ht="15.75" customHeight="1">
      <c r="C620" s="2"/>
      <c r="E620" s="2"/>
      <c r="G620" s="2"/>
      <c r="R620" s="3"/>
      <c r="S620" s="2"/>
      <c r="U620" s="2"/>
      <c r="BA620" s="4"/>
    </row>
    <row r="621" ht="15.75" customHeight="1">
      <c r="C621" s="2"/>
      <c r="E621" s="2"/>
      <c r="G621" s="2"/>
      <c r="R621" s="3"/>
      <c r="S621" s="2"/>
      <c r="U621" s="2"/>
      <c r="BA621" s="4"/>
    </row>
    <row r="622" ht="15.75" customHeight="1">
      <c r="C622" s="2"/>
      <c r="E622" s="2"/>
      <c r="G622" s="2"/>
      <c r="R622" s="3"/>
      <c r="S622" s="2"/>
      <c r="U622" s="2"/>
      <c r="BA622" s="4"/>
    </row>
    <row r="623" ht="15.75" customHeight="1">
      <c r="C623" s="2"/>
      <c r="E623" s="2"/>
      <c r="G623" s="2"/>
      <c r="R623" s="3"/>
      <c r="S623" s="2"/>
      <c r="U623" s="2"/>
      <c r="BA623" s="4"/>
    </row>
    <row r="624" ht="15.75" customHeight="1">
      <c r="C624" s="2"/>
      <c r="E624" s="2"/>
      <c r="G624" s="2"/>
      <c r="R624" s="3"/>
      <c r="S624" s="2"/>
      <c r="U624" s="2"/>
      <c r="BA624" s="4"/>
    </row>
    <row r="625" ht="15.75" customHeight="1">
      <c r="C625" s="2"/>
      <c r="E625" s="2"/>
      <c r="G625" s="2"/>
      <c r="R625" s="3"/>
      <c r="S625" s="2"/>
      <c r="U625" s="2"/>
      <c r="BA625" s="4"/>
    </row>
    <row r="626" ht="15.75" customHeight="1">
      <c r="C626" s="2"/>
      <c r="E626" s="2"/>
      <c r="G626" s="2"/>
      <c r="R626" s="3"/>
      <c r="S626" s="2"/>
      <c r="U626" s="2"/>
      <c r="BA626" s="4"/>
    </row>
    <row r="627" ht="15.75" customHeight="1">
      <c r="C627" s="2"/>
      <c r="E627" s="2"/>
      <c r="G627" s="2"/>
      <c r="R627" s="3"/>
      <c r="S627" s="2"/>
      <c r="U627" s="2"/>
      <c r="BA627" s="4"/>
    </row>
    <row r="628" ht="15.75" customHeight="1">
      <c r="C628" s="2"/>
      <c r="E628" s="2"/>
      <c r="G628" s="2"/>
      <c r="R628" s="3"/>
      <c r="S628" s="2"/>
      <c r="U628" s="2"/>
      <c r="BA628" s="4"/>
    </row>
    <row r="629" ht="15.75" customHeight="1">
      <c r="C629" s="2"/>
      <c r="E629" s="2"/>
      <c r="G629" s="2"/>
      <c r="R629" s="3"/>
      <c r="S629" s="2"/>
      <c r="U629" s="2"/>
      <c r="BA629" s="4"/>
    </row>
    <row r="630" ht="15.75" customHeight="1">
      <c r="C630" s="2"/>
      <c r="E630" s="2"/>
      <c r="G630" s="2"/>
      <c r="R630" s="3"/>
      <c r="S630" s="2"/>
      <c r="U630" s="2"/>
      <c r="BA630" s="4"/>
    </row>
    <row r="631" ht="15.75" customHeight="1">
      <c r="C631" s="2"/>
      <c r="E631" s="2"/>
      <c r="G631" s="2"/>
      <c r="R631" s="3"/>
      <c r="S631" s="2"/>
      <c r="U631" s="2"/>
      <c r="BA631" s="4"/>
    </row>
    <row r="632" ht="15.75" customHeight="1">
      <c r="C632" s="2"/>
      <c r="E632" s="2"/>
      <c r="G632" s="2"/>
      <c r="R632" s="3"/>
      <c r="S632" s="2"/>
      <c r="U632" s="2"/>
      <c r="BA632" s="4"/>
    </row>
    <row r="633" ht="15.75" customHeight="1">
      <c r="C633" s="2"/>
      <c r="E633" s="2"/>
      <c r="G633" s="2"/>
      <c r="R633" s="3"/>
      <c r="S633" s="2"/>
      <c r="U633" s="2"/>
      <c r="BA633" s="4"/>
    </row>
    <row r="634" ht="15.75" customHeight="1">
      <c r="C634" s="2"/>
      <c r="E634" s="2"/>
      <c r="G634" s="2"/>
      <c r="R634" s="3"/>
      <c r="S634" s="2"/>
      <c r="U634" s="2"/>
      <c r="BA634" s="4"/>
    </row>
    <row r="635" ht="15.75" customHeight="1">
      <c r="C635" s="2"/>
      <c r="E635" s="2"/>
      <c r="G635" s="2"/>
      <c r="R635" s="3"/>
      <c r="S635" s="2"/>
      <c r="U635" s="2"/>
      <c r="BA635" s="4"/>
    </row>
    <row r="636" ht="15.75" customHeight="1">
      <c r="C636" s="2"/>
      <c r="E636" s="2"/>
      <c r="G636" s="2"/>
      <c r="R636" s="3"/>
      <c r="S636" s="2"/>
      <c r="U636" s="2"/>
      <c r="BA636" s="4"/>
    </row>
    <row r="637" ht="15.75" customHeight="1">
      <c r="C637" s="2"/>
      <c r="E637" s="2"/>
      <c r="G637" s="2"/>
      <c r="R637" s="3"/>
      <c r="S637" s="2"/>
      <c r="U637" s="2"/>
      <c r="BA637" s="4"/>
    </row>
    <row r="638" ht="15.75" customHeight="1">
      <c r="C638" s="2"/>
      <c r="E638" s="2"/>
      <c r="G638" s="2"/>
      <c r="R638" s="3"/>
      <c r="S638" s="2"/>
      <c r="U638" s="2"/>
      <c r="BA638" s="4"/>
    </row>
    <row r="639" ht="15.75" customHeight="1">
      <c r="C639" s="2"/>
      <c r="E639" s="2"/>
      <c r="G639" s="2"/>
      <c r="R639" s="3"/>
      <c r="S639" s="2"/>
      <c r="U639" s="2"/>
      <c r="BA639" s="4"/>
    </row>
    <row r="640" ht="15.75" customHeight="1">
      <c r="C640" s="2"/>
      <c r="E640" s="2"/>
      <c r="G640" s="2"/>
      <c r="R640" s="3"/>
      <c r="S640" s="2"/>
      <c r="U640" s="2"/>
      <c r="BA640" s="4"/>
    </row>
    <row r="641" ht="15.75" customHeight="1">
      <c r="C641" s="2"/>
      <c r="E641" s="2"/>
      <c r="G641" s="2"/>
      <c r="R641" s="3"/>
      <c r="S641" s="2"/>
      <c r="U641" s="2"/>
      <c r="BA641" s="4"/>
    </row>
    <row r="642" ht="15.75" customHeight="1">
      <c r="C642" s="2"/>
      <c r="E642" s="2"/>
      <c r="G642" s="2"/>
      <c r="R642" s="3"/>
      <c r="S642" s="2"/>
      <c r="U642" s="2"/>
      <c r="BA642" s="4"/>
    </row>
    <row r="643" ht="15.75" customHeight="1">
      <c r="C643" s="2"/>
      <c r="E643" s="2"/>
      <c r="G643" s="2"/>
      <c r="R643" s="3"/>
      <c r="S643" s="2"/>
      <c r="U643" s="2"/>
      <c r="BA643" s="4"/>
    </row>
    <row r="644" ht="15.75" customHeight="1">
      <c r="C644" s="2"/>
      <c r="E644" s="2"/>
      <c r="G644" s="2"/>
      <c r="R644" s="3"/>
      <c r="S644" s="2"/>
      <c r="U644" s="2"/>
      <c r="BA644" s="4"/>
    </row>
    <row r="645" ht="15.75" customHeight="1">
      <c r="C645" s="2"/>
      <c r="E645" s="2"/>
      <c r="G645" s="2"/>
      <c r="R645" s="3"/>
      <c r="S645" s="2"/>
      <c r="U645" s="2"/>
      <c r="BA645" s="4"/>
    </row>
    <row r="646" ht="15.75" customHeight="1">
      <c r="C646" s="2"/>
      <c r="E646" s="2"/>
      <c r="G646" s="2"/>
      <c r="R646" s="3"/>
      <c r="S646" s="2"/>
      <c r="U646" s="2"/>
      <c r="BA646" s="4"/>
    </row>
    <row r="647" ht="15.75" customHeight="1">
      <c r="C647" s="2"/>
      <c r="E647" s="2"/>
      <c r="G647" s="2"/>
      <c r="R647" s="3"/>
      <c r="S647" s="2"/>
      <c r="U647" s="2"/>
      <c r="BA647" s="4"/>
    </row>
    <row r="648" ht="15.75" customHeight="1">
      <c r="C648" s="2"/>
      <c r="E648" s="2"/>
      <c r="G648" s="2"/>
      <c r="R648" s="3"/>
      <c r="S648" s="2"/>
      <c r="U648" s="2"/>
      <c r="BA648" s="4"/>
    </row>
    <row r="649" ht="15.75" customHeight="1">
      <c r="C649" s="2"/>
      <c r="E649" s="2"/>
      <c r="G649" s="2"/>
      <c r="R649" s="3"/>
      <c r="S649" s="2"/>
      <c r="U649" s="2"/>
      <c r="BA649" s="4"/>
    </row>
    <row r="650" ht="15.75" customHeight="1">
      <c r="C650" s="2"/>
      <c r="E650" s="2"/>
      <c r="G650" s="2"/>
      <c r="R650" s="3"/>
      <c r="S650" s="2"/>
      <c r="U650" s="2"/>
      <c r="BA650" s="4"/>
    </row>
    <row r="651" ht="15.75" customHeight="1">
      <c r="C651" s="2"/>
      <c r="E651" s="2"/>
      <c r="G651" s="2"/>
      <c r="R651" s="3"/>
      <c r="S651" s="2"/>
      <c r="U651" s="2"/>
      <c r="BA651" s="4"/>
    </row>
    <row r="652" ht="15.75" customHeight="1">
      <c r="C652" s="2"/>
      <c r="E652" s="2"/>
      <c r="G652" s="2"/>
      <c r="R652" s="3"/>
      <c r="S652" s="2"/>
      <c r="U652" s="2"/>
      <c r="BA652" s="4"/>
    </row>
    <row r="653" ht="15.75" customHeight="1">
      <c r="C653" s="2"/>
      <c r="E653" s="2"/>
      <c r="G653" s="2"/>
      <c r="R653" s="3"/>
      <c r="S653" s="2"/>
      <c r="U653" s="2"/>
      <c r="BA653" s="4"/>
    </row>
    <row r="654" ht="15.75" customHeight="1">
      <c r="C654" s="2"/>
      <c r="E654" s="2"/>
      <c r="G654" s="2"/>
      <c r="R654" s="3"/>
      <c r="S654" s="2"/>
      <c r="U654" s="2"/>
      <c r="BA654" s="4"/>
    </row>
    <row r="655" ht="15.75" customHeight="1">
      <c r="C655" s="2"/>
      <c r="E655" s="2"/>
      <c r="G655" s="2"/>
      <c r="R655" s="3"/>
      <c r="S655" s="2"/>
      <c r="U655" s="2"/>
      <c r="BA655" s="4"/>
    </row>
    <row r="656" ht="15.75" customHeight="1">
      <c r="C656" s="2"/>
      <c r="E656" s="2"/>
      <c r="G656" s="2"/>
      <c r="R656" s="3"/>
      <c r="S656" s="2"/>
      <c r="U656" s="2"/>
      <c r="BA656" s="4"/>
    </row>
    <row r="657" ht="15.75" customHeight="1">
      <c r="C657" s="2"/>
      <c r="E657" s="2"/>
      <c r="G657" s="2"/>
      <c r="R657" s="3"/>
      <c r="S657" s="2"/>
      <c r="U657" s="2"/>
      <c r="BA657" s="4"/>
    </row>
    <row r="658" ht="15.75" customHeight="1">
      <c r="C658" s="2"/>
      <c r="E658" s="2"/>
      <c r="G658" s="2"/>
      <c r="R658" s="3"/>
      <c r="S658" s="2"/>
      <c r="U658" s="2"/>
      <c r="BA658" s="4"/>
    </row>
    <row r="659" ht="15.75" customHeight="1">
      <c r="C659" s="2"/>
      <c r="E659" s="2"/>
      <c r="G659" s="2"/>
      <c r="R659" s="3"/>
      <c r="S659" s="2"/>
      <c r="U659" s="2"/>
      <c r="BA659" s="4"/>
    </row>
    <row r="660" ht="15.75" customHeight="1">
      <c r="C660" s="2"/>
      <c r="E660" s="2"/>
      <c r="G660" s="2"/>
      <c r="R660" s="3"/>
      <c r="S660" s="2"/>
      <c r="U660" s="2"/>
      <c r="BA660" s="4"/>
    </row>
    <row r="661" ht="15.75" customHeight="1">
      <c r="C661" s="2"/>
      <c r="E661" s="2"/>
      <c r="G661" s="2"/>
      <c r="R661" s="3"/>
      <c r="S661" s="2"/>
      <c r="U661" s="2"/>
      <c r="BA661" s="4"/>
    </row>
    <row r="662" ht="15.75" customHeight="1">
      <c r="C662" s="2"/>
      <c r="E662" s="2"/>
      <c r="G662" s="2"/>
      <c r="R662" s="3"/>
      <c r="S662" s="2"/>
      <c r="U662" s="2"/>
      <c r="BA662" s="4"/>
    </row>
    <row r="663" ht="15.75" customHeight="1">
      <c r="C663" s="2"/>
      <c r="E663" s="2"/>
      <c r="G663" s="2"/>
      <c r="R663" s="3"/>
      <c r="S663" s="2"/>
      <c r="U663" s="2"/>
      <c r="BA663" s="4"/>
    </row>
    <row r="664" ht="15.75" customHeight="1">
      <c r="C664" s="2"/>
      <c r="E664" s="2"/>
      <c r="G664" s="2"/>
      <c r="R664" s="3"/>
      <c r="S664" s="2"/>
      <c r="U664" s="2"/>
      <c r="BA664" s="4"/>
    </row>
    <row r="665" ht="15.75" customHeight="1">
      <c r="C665" s="2"/>
      <c r="E665" s="2"/>
      <c r="G665" s="2"/>
      <c r="R665" s="3"/>
      <c r="S665" s="2"/>
      <c r="U665" s="2"/>
      <c r="BA665" s="4"/>
    </row>
    <row r="666" ht="15.75" customHeight="1">
      <c r="C666" s="2"/>
      <c r="E666" s="2"/>
      <c r="G666" s="2"/>
      <c r="R666" s="3"/>
      <c r="S666" s="2"/>
      <c r="U666" s="2"/>
      <c r="BA666" s="4"/>
    </row>
    <row r="667" ht="15.75" customHeight="1">
      <c r="C667" s="2"/>
      <c r="E667" s="2"/>
      <c r="G667" s="2"/>
      <c r="R667" s="3"/>
      <c r="S667" s="2"/>
      <c r="U667" s="2"/>
      <c r="BA667" s="4"/>
    </row>
    <row r="668" ht="15.75" customHeight="1">
      <c r="C668" s="2"/>
      <c r="E668" s="2"/>
      <c r="G668" s="2"/>
      <c r="R668" s="3"/>
      <c r="S668" s="2"/>
      <c r="U668" s="2"/>
      <c r="BA668" s="4"/>
    </row>
    <row r="669" ht="15.75" customHeight="1">
      <c r="C669" s="2"/>
      <c r="E669" s="2"/>
      <c r="G669" s="2"/>
      <c r="R669" s="3"/>
      <c r="S669" s="2"/>
      <c r="U669" s="2"/>
      <c r="BA669" s="4"/>
    </row>
    <row r="670" ht="15.75" customHeight="1">
      <c r="C670" s="2"/>
      <c r="E670" s="2"/>
      <c r="G670" s="2"/>
      <c r="R670" s="3"/>
      <c r="S670" s="2"/>
      <c r="U670" s="2"/>
      <c r="BA670" s="4"/>
    </row>
    <row r="671" ht="15.75" customHeight="1">
      <c r="C671" s="2"/>
      <c r="E671" s="2"/>
      <c r="G671" s="2"/>
      <c r="R671" s="3"/>
      <c r="S671" s="2"/>
      <c r="U671" s="2"/>
      <c r="BA671" s="4"/>
    </row>
    <row r="672" ht="15.75" customHeight="1">
      <c r="C672" s="2"/>
      <c r="E672" s="2"/>
      <c r="G672" s="2"/>
      <c r="R672" s="3"/>
      <c r="S672" s="2"/>
      <c r="U672" s="2"/>
      <c r="BA672" s="4"/>
    </row>
    <row r="673" ht="15.75" customHeight="1">
      <c r="C673" s="2"/>
      <c r="E673" s="2"/>
      <c r="G673" s="2"/>
      <c r="R673" s="3"/>
      <c r="S673" s="2"/>
      <c r="U673" s="2"/>
      <c r="BA673" s="4"/>
    </row>
    <row r="674" ht="15.75" customHeight="1">
      <c r="C674" s="2"/>
      <c r="E674" s="2"/>
      <c r="G674" s="2"/>
      <c r="R674" s="3"/>
      <c r="S674" s="2"/>
      <c r="U674" s="2"/>
      <c r="BA674" s="4"/>
    </row>
    <row r="675" ht="15.75" customHeight="1">
      <c r="C675" s="2"/>
      <c r="E675" s="2"/>
      <c r="G675" s="2"/>
      <c r="R675" s="3"/>
      <c r="S675" s="2"/>
      <c r="U675" s="2"/>
      <c r="BA675" s="4"/>
    </row>
    <row r="676" ht="15.75" customHeight="1">
      <c r="C676" s="2"/>
      <c r="E676" s="2"/>
      <c r="G676" s="2"/>
      <c r="R676" s="3"/>
      <c r="S676" s="2"/>
      <c r="U676" s="2"/>
      <c r="BA676" s="4"/>
    </row>
    <row r="677" ht="15.75" customHeight="1">
      <c r="C677" s="2"/>
      <c r="E677" s="2"/>
      <c r="G677" s="2"/>
      <c r="R677" s="3"/>
      <c r="S677" s="2"/>
      <c r="U677" s="2"/>
      <c r="BA677" s="4"/>
    </row>
    <row r="678" ht="15.75" customHeight="1">
      <c r="C678" s="2"/>
      <c r="E678" s="2"/>
      <c r="G678" s="2"/>
      <c r="R678" s="3"/>
      <c r="S678" s="2"/>
      <c r="U678" s="2"/>
      <c r="BA678" s="4"/>
    </row>
    <row r="679" ht="15.75" customHeight="1">
      <c r="C679" s="2"/>
      <c r="E679" s="2"/>
      <c r="G679" s="2"/>
      <c r="R679" s="3"/>
      <c r="S679" s="2"/>
      <c r="U679" s="2"/>
      <c r="BA679" s="4"/>
    </row>
    <row r="680" ht="15.75" customHeight="1">
      <c r="C680" s="2"/>
      <c r="E680" s="2"/>
      <c r="G680" s="2"/>
      <c r="R680" s="3"/>
      <c r="S680" s="2"/>
      <c r="U680" s="2"/>
      <c r="BA680" s="4"/>
    </row>
    <row r="681" ht="15.75" customHeight="1">
      <c r="C681" s="2"/>
      <c r="E681" s="2"/>
      <c r="G681" s="2"/>
      <c r="R681" s="3"/>
      <c r="S681" s="2"/>
      <c r="U681" s="2"/>
      <c r="BA681" s="4"/>
    </row>
    <row r="682" ht="15.75" customHeight="1">
      <c r="C682" s="2"/>
      <c r="E682" s="2"/>
      <c r="G682" s="2"/>
      <c r="R682" s="3"/>
      <c r="S682" s="2"/>
      <c r="U682" s="2"/>
      <c r="BA682" s="4"/>
    </row>
    <row r="683" ht="15.75" customHeight="1">
      <c r="C683" s="2"/>
      <c r="E683" s="2"/>
      <c r="G683" s="2"/>
      <c r="R683" s="3"/>
      <c r="S683" s="2"/>
      <c r="U683" s="2"/>
      <c r="BA683" s="4"/>
    </row>
    <row r="684" ht="15.75" customHeight="1">
      <c r="C684" s="2"/>
      <c r="E684" s="2"/>
      <c r="G684" s="2"/>
      <c r="R684" s="3"/>
      <c r="S684" s="2"/>
      <c r="U684" s="2"/>
      <c r="BA684" s="4"/>
    </row>
    <row r="685" ht="15.75" customHeight="1">
      <c r="C685" s="2"/>
      <c r="E685" s="2"/>
      <c r="G685" s="2"/>
      <c r="R685" s="3"/>
      <c r="S685" s="2"/>
      <c r="U685" s="2"/>
      <c r="BA685" s="4"/>
    </row>
    <row r="686" ht="15.75" customHeight="1">
      <c r="C686" s="2"/>
      <c r="E686" s="2"/>
      <c r="G686" s="2"/>
      <c r="R686" s="3"/>
      <c r="S686" s="2"/>
      <c r="U686" s="2"/>
      <c r="BA686" s="4"/>
    </row>
    <row r="687" ht="15.75" customHeight="1">
      <c r="C687" s="2"/>
      <c r="E687" s="2"/>
      <c r="G687" s="2"/>
      <c r="R687" s="3"/>
      <c r="S687" s="2"/>
      <c r="U687" s="2"/>
      <c r="BA687" s="4"/>
    </row>
    <row r="688" ht="15.75" customHeight="1">
      <c r="C688" s="2"/>
      <c r="E688" s="2"/>
      <c r="G688" s="2"/>
      <c r="R688" s="3"/>
      <c r="S688" s="2"/>
      <c r="U688" s="2"/>
      <c r="BA688" s="4"/>
    </row>
    <row r="689" ht="15.75" customHeight="1">
      <c r="C689" s="2"/>
      <c r="E689" s="2"/>
      <c r="G689" s="2"/>
      <c r="R689" s="3"/>
      <c r="S689" s="2"/>
      <c r="U689" s="2"/>
      <c r="BA689" s="4"/>
    </row>
    <row r="690" ht="15.75" customHeight="1">
      <c r="C690" s="2"/>
      <c r="E690" s="2"/>
      <c r="G690" s="2"/>
      <c r="R690" s="3"/>
      <c r="S690" s="2"/>
      <c r="U690" s="2"/>
      <c r="BA690" s="4"/>
    </row>
    <row r="691" ht="15.75" customHeight="1">
      <c r="C691" s="2"/>
      <c r="E691" s="2"/>
      <c r="G691" s="2"/>
      <c r="R691" s="3"/>
      <c r="S691" s="2"/>
      <c r="U691" s="2"/>
      <c r="BA691" s="4"/>
    </row>
    <row r="692" ht="15.75" customHeight="1">
      <c r="C692" s="2"/>
      <c r="E692" s="2"/>
      <c r="G692" s="2"/>
      <c r="R692" s="3"/>
      <c r="S692" s="2"/>
      <c r="U692" s="2"/>
      <c r="BA692" s="4"/>
    </row>
    <row r="693" ht="15.75" customHeight="1">
      <c r="C693" s="2"/>
      <c r="E693" s="2"/>
      <c r="G693" s="2"/>
      <c r="R693" s="3"/>
      <c r="S693" s="2"/>
      <c r="U693" s="2"/>
      <c r="BA693" s="4"/>
    </row>
    <row r="694" ht="15.75" customHeight="1">
      <c r="C694" s="2"/>
      <c r="E694" s="2"/>
      <c r="G694" s="2"/>
      <c r="R694" s="3"/>
      <c r="S694" s="2"/>
      <c r="U694" s="2"/>
      <c r="BA694" s="4"/>
    </row>
    <row r="695" ht="15.75" customHeight="1">
      <c r="C695" s="2"/>
      <c r="E695" s="2"/>
      <c r="G695" s="2"/>
      <c r="R695" s="3"/>
      <c r="S695" s="2"/>
      <c r="U695" s="2"/>
      <c r="BA695" s="4"/>
    </row>
    <row r="696" ht="15.75" customHeight="1">
      <c r="C696" s="2"/>
      <c r="E696" s="2"/>
      <c r="G696" s="2"/>
      <c r="R696" s="3"/>
      <c r="S696" s="2"/>
      <c r="U696" s="2"/>
      <c r="BA696" s="4"/>
    </row>
    <row r="697" ht="15.75" customHeight="1">
      <c r="C697" s="2"/>
      <c r="E697" s="2"/>
      <c r="G697" s="2"/>
      <c r="R697" s="3"/>
      <c r="S697" s="2"/>
      <c r="U697" s="2"/>
      <c r="BA697" s="4"/>
    </row>
    <row r="698" ht="15.75" customHeight="1">
      <c r="C698" s="2"/>
      <c r="E698" s="2"/>
      <c r="G698" s="2"/>
      <c r="R698" s="3"/>
      <c r="S698" s="2"/>
      <c r="U698" s="2"/>
      <c r="BA698" s="4"/>
    </row>
    <row r="699" ht="15.75" customHeight="1">
      <c r="C699" s="2"/>
      <c r="E699" s="2"/>
      <c r="G699" s="2"/>
      <c r="R699" s="3"/>
      <c r="S699" s="2"/>
      <c r="U699" s="2"/>
      <c r="BA699" s="4"/>
    </row>
    <row r="700" ht="15.75" customHeight="1">
      <c r="C700" s="2"/>
      <c r="E700" s="2"/>
      <c r="G700" s="2"/>
      <c r="R700" s="3"/>
      <c r="S700" s="2"/>
      <c r="U700" s="2"/>
      <c r="BA700" s="4"/>
    </row>
    <row r="701" ht="15.75" customHeight="1">
      <c r="C701" s="2"/>
      <c r="E701" s="2"/>
      <c r="G701" s="2"/>
      <c r="R701" s="3"/>
      <c r="S701" s="2"/>
      <c r="U701" s="2"/>
      <c r="BA701" s="4"/>
    </row>
    <row r="702" ht="15.75" customHeight="1">
      <c r="C702" s="2"/>
      <c r="E702" s="2"/>
      <c r="G702" s="2"/>
      <c r="R702" s="3"/>
      <c r="S702" s="2"/>
      <c r="U702" s="2"/>
      <c r="BA702" s="4"/>
    </row>
    <row r="703" ht="15.75" customHeight="1">
      <c r="C703" s="2"/>
      <c r="E703" s="2"/>
      <c r="G703" s="2"/>
      <c r="R703" s="3"/>
      <c r="S703" s="2"/>
      <c r="U703" s="2"/>
      <c r="BA703" s="4"/>
    </row>
    <row r="704" ht="15.75" customHeight="1">
      <c r="C704" s="2"/>
      <c r="E704" s="2"/>
      <c r="G704" s="2"/>
      <c r="R704" s="3"/>
      <c r="S704" s="2"/>
      <c r="U704" s="2"/>
      <c r="BA704" s="4"/>
    </row>
    <row r="705" ht="15.75" customHeight="1">
      <c r="C705" s="2"/>
      <c r="E705" s="2"/>
      <c r="G705" s="2"/>
      <c r="R705" s="3"/>
      <c r="S705" s="2"/>
      <c r="U705" s="2"/>
      <c r="BA705" s="4"/>
    </row>
    <row r="706" ht="15.75" customHeight="1">
      <c r="C706" s="2"/>
      <c r="E706" s="2"/>
      <c r="G706" s="2"/>
      <c r="R706" s="3"/>
      <c r="S706" s="2"/>
      <c r="U706" s="2"/>
      <c r="BA706" s="4"/>
    </row>
    <row r="707" ht="15.75" customHeight="1">
      <c r="C707" s="2"/>
      <c r="E707" s="2"/>
      <c r="G707" s="2"/>
      <c r="R707" s="3"/>
      <c r="S707" s="2"/>
      <c r="U707" s="2"/>
      <c r="BA707" s="4"/>
    </row>
    <row r="708" ht="15.75" customHeight="1">
      <c r="C708" s="2"/>
      <c r="E708" s="2"/>
      <c r="G708" s="2"/>
      <c r="R708" s="3"/>
      <c r="S708" s="2"/>
      <c r="U708" s="2"/>
      <c r="BA708" s="4"/>
    </row>
    <row r="709" ht="15.75" customHeight="1">
      <c r="C709" s="2"/>
      <c r="E709" s="2"/>
      <c r="G709" s="2"/>
      <c r="R709" s="3"/>
      <c r="S709" s="2"/>
      <c r="U709" s="2"/>
      <c r="BA709" s="4"/>
    </row>
    <row r="710" ht="15.75" customHeight="1">
      <c r="C710" s="2"/>
      <c r="E710" s="2"/>
      <c r="G710" s="2"/>
      <c r="R710" s="3"/>
      <c r="S710" s="2"/>
      <c r="U710" s="2"/>
      <c r="BA710" s="4"/>
    </row>
    <row r="711" ht="15.75" customHeight="1">
      <c r="C711" s="2"/>
      <c r="E711" s="2"/>
      <c r="G711" s="2"/>
      <c r="R711" s="3"/>
      <c r="S711" s="2"/>
      <c r="U711" s="2"/>
      <c r="BA711" s="4"/>
    </row>
    <row r="712" ht="15.75" customHeight="1">
      <c r="C712" s="2"/>
      <c r="E712" s="2"/>
      <c r="G712" s="2"/>
      <c r="R712" s="3"/>
      <c r="S712" s="2"/>
      <c r="U712" s="2"/>
      <c r="BA712" s="4"/>
    </row>
    <row r="713" ht="15.75" customHeight="1">
      <c r="C713" s="2"/>
      <c r="E713" s="2"/>
      <c r="G713" s="2"/>
      <c r="R713" s="3"/>
      <c r="S713" s="2"/>
      <c r="U713" s="2"/>
      <c r="BA713" s="4"/>
    </row>
    <row r="714" ht="15.75" customHeight="1">
      <c r="C714" s="2"/>
      <c r="E714" s="2"/>
      <c r="G714" s="2"/>
      <c r="R714" s="3"/>
      <c r="S714" s="2"/>
      <c r="U714" s="2"/>
      <c r="BA714" s="4"/>
    </row>
    <row r="715" ht="15.75" customHeight="1">
      <c r="C715" s="2"/>
      <c r="E715" s="2"/>
      <c r="G715" s="2"/>
      <c r="R715" s="3"/>
      <c r="S715" s="2"/>
      <c r="U715" s="2"/>
      <c r="BA715" s="4"/>
    </row>
    <row r="716" ht="15.75" customHeight="1">
      <c r="C716" s="2"/>
      <c r="E716" s="2"/>
      <c r="G716" s="2"/>
      <c r="R716" s="3"/>
      <c r="S716" s="2"/>
      <c r="U716" s="2"/>
      <c r="BA716" s="4"/>
    </row>
    <row r="717" ht="15.75" customHeight="1">
      <c r="C717" s="2"/>
      <c r="E717" s="2"/>
      <c r="G717" s="2"/>
      <c r="R717" s="3"/>
      <c r="S717" s="2"/>
      <c r="U717" s="2"/>
      <c r="BA717" s="4"/>
    </row>
    <row r="718" ht="15.75" customHeight="1">
      <c r="C718" s="2"/>
      <c r="E718" s="2"/>
      <c r="G718" s="2"/>
      <c r="R718" s="3"/>
      <c r="S718" s="2"/>
      <c r="U718" s="2"/>
      <c r="BA718" s="4"/>
    </row>
    <row r="719" ht="15.75" customHeight="1">
      <c r="C719" s="2"/>
      <c r="E719" s="2"/>
      <c r="G719" s="2"/>
      <c r="R719" s="3"/>
      <c r="S719" s="2"/>
      <c r="U719" s="2"/>
      <c r="BA719" s="4"/>
    </row>
    <row r="720" ht="15.75" customHeight="1">
      <c r="C720" s="2"/>
      <c r="E720" s="2"/>
      <c r="G720" s="2"/>
      <c r="R720" s="3"/>
      <c r="S720" s="2"/>
      <c r="U720" s="2"/>
      <c r="BA720" s="4"/>
    </row>
    <row r="721" ht="15.75" customHeight="1">
      <c r="C721" s="2"/>
      <c r="E721" s="2"/>
      <c r="G721" s="2"/>
      <c r="R721" s="3"/>
      <c r="S721" s="2"/>
      <c r="U721" s="2"/>
      <c r="BA721" s="4"/>
    </row>
    <row r="722" ht="15.75" customHeight="1">
      <c r="C722" s="2"/>
      <c r="E722" s="2"/>
      <c r="G722" s="2"/>
      <c r="R722" s="3"/>
      <c r="S722" s="2"/>
      <c r="U722" s="2"/>
      <c r="BA722" s="4"/>
    </row>
    <row r="723" ht="15.75" customHeight="1">
      <c r="C723" s="2"/>
      <c r="E723" s="2"/>
      <c r="G723" s="2"/>
      <c r="R723" s="3"/>
      <c r="S723" s="2"/>
      <c r="U723" s="2"/>
      <c r="BA723" s="4"/>
    </row>
    <row r="724" ht="15.75" customHeight="1">
      <c r="C724" s="2"/>
      <c r="E724" s="2"/>
      <c r="G724" s="2"/>
      <c r="R724" s="3"/>
      <c r="S724" s="2"/>
      <c r="U724" s="2"/>
      <c r="BA724" s="4"/>
    </row>
    <row r="725" ht="15.75" customHeight="1">
      <c r="C725" s="2"/>
      <c r="E725" s="2"/>
      <c r="G725" s="2"/>
      <c r="R725" s="3"/>
      <c r="S725" s="2"/>
      <c r="U725" s="2"/>
      <c r="BA725" s="4"/>
    </row>
    <row r="726" ht="15.75" customHeight="1">
      <c r="C726" s="2"/>
      <c r="E726" s="2"/>
      <c r="G726" s="2"/>
      <c r="R726" s="3"/>
      <c r="S726" s="2"/>
      <c r="U726" s="2"/>
      <c r="BA726" s="4"/>
    </row>
    <row r="727" ht="15.75" customHeight="1">
      <c r="C727" s="2"/>
      <c r="E727" s="2"/>
      <c r="G727" s="2"/>
      <c r="R727" s="3"/>
      <c r="S727" s="2"/>
      <c r="U727" s="2"/>
      <c r="BA727" s="4"/>
    </row>
    <row r="728" ht="15.75" customHeight="1">
      <c r="C728" s="2"/>
      <c r="E728" s="2"/>
      <c r="G728" s="2"/>
      <c r="R728" s="3"/>
      <c r="S728" s="2"/>
      <c r="U728" s="2"/>
      <c r="BA728" s="4"/>
    </row>
    <row r="729" ht="15.75" customHeight="1">
      <c r="C729" s="2"/>
      <c r="E729" s="2"/>
      <c r="G729" s="2"/>
      <c r="R729" s="3"/>
      <c r="S729" s="2"/>
      <c r="U729" s="2"/>
      <c r="BA729" s="4"/>
    </row>
    <row r="730" ht="15.75" customHeight="1">
      <c r="C730" s="2"/>
      <c r="E730" s="2"/>
      <c r="G730" s="2"/>
      <c r="R730" s="3"/>
      <c r="S730" s="2"/>
      <c r="U730" s="2"/>
      <c r="BA730" s="4"/>
    </row>
    <row r="731" ht="15.75" customHeight="1">
      <c r="C731" s="2"/>
      <c r="E731" s="2"/>
      <c r="G731" s="2"/>
      <c r="R731" s="3"/>
      <c r="S731" s="2"/>
      <c r="U731" s="2"/>
      <c r="BA731" s="4"/>
    </row>
    <row r="732" ht="15.75" customHeight="1">
      <c r="C732" s="2"/>
      <c r="E732" s="2"/>
      <c r="G732" s="2"/>
      <c r="R732" s="3"/>
      <c r="S732" s="2"/>
      <c r="U732" s="2"/>
      <c r="BA732" s="4"/>
    </row>
    <row r="733" ht="15.75" customHeight="1">
      <c r="C733" s="2"/>
      <c r="E733" s="2"/>
      <c r="G733" s="2"/>
      <c r="R733" s="3"/>
      <c r="S733" s="2"/>
      <c r="U733" s="2"/>
      <c r="BA733" s="4"/>
    </row>
    <row r="734" ht="15.75" customHeight="1">
      <c r="C734" s="2"/>
      <c r="E734" s="2"/>
      <c r="G734" s="2"/>
      <c r="R734" s="3"/>
      <c r="S734" s="2"/>
      <c r="U734" s="2"/>
      <c r="BA734" s="4"/>
    </row>
    <row r="735" ht="15.75" customHeight="1">
      <c r="C735" s="2"/>
      <c r="E735" s="2"/>
      <c r="G735" s="2"/>
      <c r="R735" s="3"/>
      <c r="S735" s="2"/>
      <c r="U735" s="2"/>
      <c r="BA735" s="4"/>
    </row>
    <row r="736" ht="15.75" customHeight="1">
      <c r="C736" s="2"/>
      <c r="E736" s="2"/>
      <c r="G736" s="2"/>
      <c r="R736" s="3"/>
      <c r="S736" s="2"/>
      <c r="U736" s="2"/>
      <c r="BA736" s="4"/>
    </row>
    <row r="737" ht="15.75" customHeight="1">
      <c r="C737" s="2"/>
      <c r="E737" s="2"/>
      <c r="G737" s="2"/>
      <c r="R737" s="3"/>
      <c r="S737" s="2"/>
      <c r="U737" s="2"/>
      <c r="BA737" s="4"/>
    </row>
    <row r="738" ht="15.75" customHeight="1">
      <c r="C738" s="2"/>
      <c r="E738" s="2"/>
      <c r="G738" s="2"/>
      <c r="R738" s="3"/>
      <c r="S738" s="2"/>
      <c r="U738" s="2"/>
      <c r="BA738" s="4"/>
    </row>
    <row r="739" ht="15.75" customHeight="1">
      <c r="C739" s="2"/>
      <c r="E739" s="2"/>
      <c r="G739" s="2"/>
      <c r="R739" s="3"/>
      <c r="S739" s="2"/>
      <c r="U739" s="2"/>
      <c r="BA739" s="4"/>
    </row>
    <row r="740" ht="15.75" customHeight="1">
      <c r="C740" s="2"/>
      <c r="E740" s="2"/>
      <c r="G740" s="2"/>
      <c r="R740" s="3"/>
      <c r="S740" s="2"/>
      <c r="U740" s="2"/>
      <c r="BA740" s="4"/>
    </row>
    <row r="741" ht="15.75" customHeight="1">
      <c r="C741" s="2"/>
      <c r="E741" s="2"/>
      <c r="G741" s="2"/>
      <c r="R741" s="3"/>
      <c r="S741" s="2"/>
      <c r="U741" s="2"/>
      <c r="BA741" s="4"/>
    </row>
    <row r="742" ht="15.75" customHeight="1">
      <c r="C742" s="2"/>
      <c r="E742" s="2"/>
      <c r="G742" s="2"/>
      <c r="R742" s="3"/>
      <c r="S742" s="2"/>
      <c r="U742" s="2"/>
      <c r="BA742" s="4"/>
    </row>
    <row r="743" ht="15.75" customHeight="1">
      <c r="C743" s="2"/>
      <c r="E743" s="2"/>
      <c r="G743" s="2"/>
      <c r="R743" s="3"/>
      <c r="S743" s="2"/>
      <c r="U743" s="2"/>
      <c r="BA743" s="4"/>
    </row>
    <row r="744" ht="15.75" customHeight="1">
      <c r="C744" s="2"/>
      <c r="E744" s="2"/>
      <c r="G744" s="2"/>
      <c r="R744" s="3"/>
      <c r="S744" s="2"/>
      <c r="U744" s="2"/>
      <c r="BA744" s="4"/>
    </row>
    <row r="745" ht="15.75" customHeight="1">
      <c r="C745" s="2"/>
      <c r="E745" s="2"/>
      <c r="G745" s="2"/>
      <c r="R745" s="3"/>
      <c r="S745" s="2"/>
      <c r="U745" s="2"/>
      <c r="BA745" s="4"/>
    </row>
    <row r="746" ht="15.75" customHeight="1">
      <c r="C746" s="2"/>
      <c r="E746" s="2"/>
      <c r="G746" s="2"/>
      <c r="R746" s="3"/>
      <c r="S746" s="2"/>
      <c r="U746" s="2"/>
      <c r="BA746" s="4"/>
    </row>
    <row r="747" ht="15.75" customHeight="1">
      <c r="C747" s="2"/>
      <c r="E747" s="2"/>
      <c r="G747" s="2"/>
      <c r="R747" s="3"/>
      <c r="S747" s="2"/>
      <c r="U747" s="2"/>
      <c r="BA747" s="4"/>
    </row>
    <row r="748" ht="15.75" customHeight="1">
      <c r="C748" s="2"/>
      <c r="E748" s="2"/>
      <c r="G748" s="2"/>
      <c r="R748" s="3"/>
      <c r="S748" s="2"/>
      <c r="U748" s="2"/>
      <c r="BA748" s="4"/>
    </row>
    <row r="749" ht="15.75" customHeight="1">
      <c r="C749" s="2"/>
      <c r="E749" s="2"/>
      <c r="G749" s="2"/>
      <c r="R749" s="3"/>
      <c r="S749" s="2"/>
      <c r="U749" s="2"/>
      <c r="BA749" s="4"/>
    </row>
    <row r="750" ht="15.75" customHeight="1">
      <c r="C750" s="2"/>
      <c r="E750" s="2"/>
      <c r="G750" s="2"/>
      <c r="R750" s="3"/>
      <c r="S750" s="2"/>
      <c r="U750" s="2"/>
      <c r="BA750" s="4"/>
    </row>
    <row r="751" ht="15.75" customHeight="1">
      <c r="C751" s="2"/>
      <c r="E751" s="2"/>
      <c r="G751" s="2"/>
      <c r="R751" s="3"/>
      <c r="S751" s="2"/>
      <c r="U751" s="2"/>
      <c r="BA751" s="4"/>
    </row>
    <row r="752" ht="15.75" customHeight="1">
      <c r="C752" s="2"/>
      <c r="E752" s="2"/>
      <c r="G752" s="2"/>
      <c r="R752" s="3"/>
      <c r="S752" s="2"/>
      <c r="U752" s="2"/>
      <c r="BA752" s="4"/>
    </row>
    <row r="753" ht="15.75" customHeight="1">
      <c r="C753" s="2"/>
      <c r="E753" s="2"/>
      <c r="G753" s="2"/>
      <c r="R753" s="3"/>
      <c r="S753" s="2"/>
      <c r="U753" s="2"/>
      <c r="BA753" s="4"/>
    </row>
    <row r="754" ht="15.75" customHeight="1">
      <c r="C754" s="2"/>
      <c r="E754" s="2"/>
      <c r="G754" s="2"/>
      <c r="R754" s="3"/>
      <c r="S754" s="2"/>
      <c r="U754" s="2"/>
      <c r="BA754" s="4"/>
    </row>
    <row r="755" ht="15.75" customHeight="1">
      <c r="C755" s="2"/>
      <c r="E755" s="2"/>
      <c r="G755" s="2"/>
      <c r="R755" s="3"/>
      <c r="S755" s="2"/>
      <c r="U755" s="2"/>
      <c r="BA755" s="4"/>
    </row>
    <row r="756" ht="15.75" customHeight="1">
      <c r="C756" s="2"/>
      <c r="E756" s="2"/>
      <c r="G756" s="2"/>
      <c r="R756" s="3"/>
      <c r="S756" s="2"/>
      <c r="U756" s="2"/>
      <c r="BA756" s="4"/>
    </row>
    <row r="757" ht="15.75" customHeight="1">
      <c r="C757" s="2"/>
      <c r="E757" s="2"/>
      <c r="G757" s="2"/>
      <c r="R757" s="3"/>
      <c r="S757" s="2"/>
      <c r="U757" s="2"/>
      <c r="BA757" s="4"/>
    </row>
    <row r="758" ht="15.75" customHeight="1">
      <c r="C758" s="2"/>
      <c r="E758" s="2"/>
      <c r="G758" s="2"/>
      <c r="R758" s="3"/>
      <c r="S758" s="2"/>
      <c r="U758" s="2"/>
      <c r="BA758" s="4"/>
    </row>
    <row r="759" ht="15.75" customHeight="1">
      <c r="C759" s="2"/>
      <c r="E759" s="2"/>
      <c r="G759" s="2"/>
      <c r="R759" s="3"/>
      <c r="S759" s="2"/>
      <c r="U759" s="2"/>
      <c r="BA759" s="4"/>
    </row>
    <row r="760" ht="15.75" customHeight="1">
      <c r="C760" s="2"/>
      <c r="E760" s="2"/>
      <c r="G760" s="2"/>
      <c r="R760" s="3"/>
      <c r="S760" s="2"/>
      <c r="U760" s="2"/>
      <c r="BA760" s="4"/>
    </row>
    <row r="761" ht="15.75" customHeight="1">
      <c r="C761" s="2"/>
      <c r="E761" s="2"/>
      <c r="G761" s="2"/>
      <c r="R761" s="3"/>
      <c r="S761" s="2"/>
      <c r="U761" s="2"/>
      <c r="BA761" s="4"/>
    </row>
    <row r="762" ht="15.75" customHeight="1">
      <c r="C762" s="2"/>
      <c r="E762" s="2"/>
      <c r="G762" s="2"/>
      <c r="R762" s="3"/>
      <c r="S762" s="2"/>
      <c r="U762" s="2"/>
      <c r="BA762" s="4"/>
    </row>
    <row r="763" ht="15.75" customHeight="1">
      <c r="C763" s="2"/>
      <c r="E763" s="2"/>
      <c r="G763" s="2"/>
      <c r="R763" s="3"/>
      <c r="S763" s="2"/>
      <c r="U763" s="2"/>
      <c r="BA763" s="4"/>
    </row>
    <row r="764" ht="15.75" customHeight="1">
      <c r="C764" s="2"/>
      <c r="E764" s="2"/>
      <c r="G764" s="2"/>
      <c r="R764" s="3"/>
      <c r="S764" s="2"/>
      <c r="U764" s="2"/>
      <c r="BA764" s="4"/>
    </row>
    <row r="765" ht="15.75" customHeight="1">
      <c r="C765" s="2"/>
      <c r="E765" s="2"/>
      <c r="G765" s="2"/>
      <c r="R765" s="3"/>
      <c r="S765" s="2"/>
      <c r="U765" s="2"/>
      <c r="BA765" s="4"/>
    </row>
    <row r="766" ht="15.75" customHeight="1">
      <c r="C766" s="2"/>
      <c r="E766" s="2"/>
      <c r="G766" s="2"/>
      <c r="R766" s="3"/>
      <c r="S766" s="2"/>
      <c r="U766" s="2"/>
      <c r="BA766" s="4"/>
    </row>
    <row r="767" ht="15.75" customHeight="1">
      <c r="C767" s="2"/>
      <c r="E767" s="2"/>
      <c r="G767" s="2"/>
      <c r="R767" s="3"/>
      <c r="S767" s="2"/>
      <c r="U767" s="2"/>
      <c r="BA767" s="4"/>
    </row>
    <row r="768" ht="15.75" customHeight="1">
      <c r="C768" s="2"/>
      <c r="E768" s="2"/>
      <c r="G768" s="2"/>
      <c r="R768" s="3"/>
      <c r="S768" s="2"/>
      <c r="U768" s="2"/>
      <c r="BA768" s="4"/>
    </row>
    <row r="769" ht="15.75" customHeight="1">
      <c r="C769" s="2"/>
      <c r="E769" s="2"/>
      <c r="G769" s="2"/>
      <c r="R769" s="3"/>
      <c r="S769" s="2"/>
      <c r="U769" s="2"/>
      <c r="BA769" s="4"/>
    </row>
    <row r="770" ht="15.75" customHeight="1">
      <c r="C770" s="2"/>
      <c r="E770" s="2"/>
      <c r="G770" s="2"/>
      <c r="R770" s="3"/>
      <c r="S770" s="2"/>
      <c r="U770" s="2"/>
      <c r="BA770" s="4"/>
    </row>
    <row r="771" ht="15.75" customHeight="1">
      <c r="C771" s="2"/>
      <c r="E771" s="2"/>
      <c r="G771" s="2"/>
      <c r="R771" s="3"/>
      <c r="S771" s="2"/>
      <c r="U771" s="2"/>
      <c r="BA771" s="4"/>
    </row>
    <row r="772" ht="15.75" customHeight="1">
      <c r="C772" s="2"/>
      <c r="E772" s="2"/>
      <c r="G772" s="2"/>
      <c r="R772" s="3"/>
      <c r="S772" s="2"/>
      <c r="U772" s="2"/>
      <c r="BA772" s="4"/>
    </row>
    <row r="773" ht="15.75" customHeight="1">
      <c r="C773" s="2"/>
      <c r="E773" s="2"/>
      <c r="G773" s="2"/>
      <c r="R773" s="3"/>
      <c r="S773" s="2"/>
      <c r="U773" s="2"/>
      <c r="BA773" s="4"/>
    </row>
    <row r="774" ht="15.75" customHeight="1">
      <c r="C774" s="2"/>
      <c r="E774" s="2"/>
      <c r="G774" s="2"/>
      <c r="R774" s="3"/>
      <c r="S774" s="2"/>
      <c r="U774" s="2"/>
      <c r="BA774" s="4"/>
    </row>
    <row r="775" ht="15.75" customHeight="1">
      <c r="C775" s="2"/>
      <c r="E775" s="2"/>
      <c r="G775" s="2"/>
      <c r="R775" s="3"/>
      <c r="S775" s="2"/>
      <c r="U775" s="2"/>
      <c r="BA775" s="4"/>
    </row>
    <row r="776" ht="15.75" customHeight="1">
      <c r="C776" s="2"/>
      <c r="E776" s="2"/>
      <c r="G776" s="2"/>
      <c r="R776" s="3"/>
      <c r="S776" s="2"/>
      <c r="U776" s="2"/>
      <c r="BA776" s="4"/>
    </row>
    <row r="777" ht="15.75" customHeight="1">
      <c r="C777" s="2"/>
      <c r="E777" s="2"/>
      <c r="G777" s="2"/>
      <c r="R777" s="3"/>
      <c r="S777" s="2"/>
      <c r="U777" s="2"/>
      <c r="BA777" s="4"/>
    </row>
    <row r="778" ht="15.75" customHeight="1">
      <c r="C778" s="2"/>
      <c r="E778" s="2"/>
      <c r="G778" s="2"/>
      <c r="R778" s="3"/>
      <c r="S778" s="2"/>
      <c r="U778" s="2"/>
      <c r="BA778" s="4"/>
    </row>
    <row r="779" ht="15.75" customHeight="1">
      <c r="C779" s="2"/>
      <c r="E779" s="2"/>
      <c r="G779" s="2"/>
      <c r="R779" s="3"/>
      <c r="S779" s="2"/>
      <c r="U779" s="2"/>
      <c r="BA779" s="4"/>
    </row>
    <row r="780" ht="15.75" customHeight="1">
      <c r="C780" s="2"/>
      <c r="E780" s="2"/>
      <c r="G780" s="2"/>
      <c r="R780" s="3"/>
      <c r="S780" s="2"/>
      <c r="U780" s="2"/>
      <c r="BA780" s="4"/>
    </row>
    <row r="781" ht="15.75" customHeight="1">
      <c r="C781" s="2"/>
      <c r="E781" s="2"/>
      <c r="G781" s="2"/>
      <c r="R781" s="3"/>
      <c r="S781" s="2"/>
      <c r="U781" s="2"/>
      <c r="BA781" s="4"/>
    </row>
    <row r="782" ht="15.75" customHeight="1">
      <c r="C782" s="2"/>
      <c r="E782" s="2"/>
      <c r="G782" s="2"/>
      <c r="R782" s="3"/>
      <c r="S782" s="2"/>
      <c r="U782" s="2"/>
      <c r="BA782" s="4"/>
    </row>
    <row r="783" ht="15.75" customHeight="1">
      <c r="C783" s="2"/>
      <c r="E783" s="2"/>
      <c r="G783" s="2"/>
      <c r="R783" s="3"/>
      <c r="S783" s="2"/>
      <c r="U783" s="2"/>
      <c r="BA783" s="4"/>
    </row>
    <row r="784" ht="15.75" customHeight="1">
      <c r="C784" s="2"/>
      <c r="E784" s="2"/>
      <c r="G784" s="2"/>
      <c r="R784" s="3"/>
      <c r="S784" s="2"/>
      <c r="U784" s="2"/>
      <c r="BA784" s="4"/>
    </row>
    <row r="785" ht="15.75" customHeight="1">
      <c r="C785" s="2"/>
      <c r="E785" s="2"/>
      <c r="G785" s="2"/>
      <c r="R785" s="3"/>
      <c r="S785" s="2"/>
      <c r="U785" s="2"/>
      <c r="BA785" s="4"/>
    </row>
    <row r="786" ht="15.75" customHeight="1">
      <c r="C786" s="2"/>
      <c r="E786" s="2"/>
      <c r="G786" s="2"/>
      <c r="R786" s="3"/>
      <c r="S786" s="2"/>
      <c r="U786" s="2"/>
      <c r="BA786" s="4"/>
    </row>
    <row r="787" ht="15.75" customHeight="1">
      <c r="C787" s="2"/>
      <c r="E787" s="2"/>
      <c r="G787" s="2"/>
      <c r="R787" s="3"/>
      <c r="S787" s="2"/>
      <c r="U787" s="2"/>
      <c r="BA787" s="4"/>
    </row>
    <row r="788" ht="15.75" customHeight="1">
      <c r="C788" s="2"/>
      <c r="E788" s="2"/>
      <c r="G788" s="2"/>
      <c r="R788" s="3"/>
      <c r="S788" s="2"/>
      <c r="U788" s="2"/>
      <c r="BA788" s="4"/>
    </row>
    <row r="789" ht="15.75" customHeight="1">
      <c r="C789" s="2"/>
      <c r="E789" s="2"/>
      <c r="G789" s="2"/>
      <c r="R789" s="3"/>
      <c r="S789" s="2"/>
      <c r="U789" s="2"/>
      <c r="BA789" s="4"/>
    </row>
    <row r="790" ht="15.75" customHeight="1">
      <c r="C790" s="2"/>
      <c r="E790" s="2"/>
      <c r="G790" s="2"/>
      <c r="R790" s="3"/>
      <c r="S790" s="2"/>
      <c r="U790" s="2"/>
      <c r="BA790" s="4"/>
    </row>
    <row r="791" ht="15.75" customHeight="1">
      <c r="C791" s="2"/>
      <c r="E791" s="2"/>
      <c r="G791" s="2"/>
      <c r="R791" s="3"/>
      <c r="S791" s="2"/>
      <c r="U791" s="2"/>
      <c r="BA791" s="4"/>
    </row>
    <row r="792" ht="15.75" customHeight="1">
      <c r="C792" s="2"/>
      <c r="E792" s="2"/>
      <c r="G792" s="2"/>
      <c r="R792" s="3"/>
      <c r="S792" s="2"/>
      <c r="U792" s="2"/>
      <c r="BA792" s="4"/>
    </row>
    <row r="793" ht="15.75" customHeight="1">
      <c r="C793" s="2"/>
      <c r="E793" s="2"/>
      <c r="G793" s="2"/>
      <c r="R793" s="3"/>
      <c r="S793" s="2"/>
      <c r="U793" s="2"/>
      <c r="BA793" s="4"/>
    </row>
    <row r="794" ht="15.75" customHeight="1">
      <c r="C794" s="2"/>
      <c r="E794" s="2"/>
      <c r="G794" s="2"/>
      <c r="R794" s="3"/>
      <c r="S794" s="2"/>
      <c r="U794" s="2"/>
      <c r="BA794" s="4"/>
    </row>
    <row r="795" ht="15.75" customHeight="1">
      <c r="C795" s="2"/>
      <c r="E795" s="2"/>
      <c r="G795" s="2"/>
      <c r="R795" s="3"/>
      <c r="S795" s="2"/>
      <c r="U795" s="2"/>
      <c r="BA795" s="4"/>
    </row>
    <row r="796" ht="15.75" customHeight="1">
      <c r="C796" s="2"/>
      <c r="E796" s="2"/>
      <c r="G796" s="2"/>
      <c r="R796" s="3"/>
      <c r="S796" s="2"/>
      <c r="U796" s="2"/>
      <c r="BA796" s="4"/>
    </row>
    <row r="797" ht="15.75" customHeight="1">
      <c r="C797" s="2"/>
      <c r="E797" s="2"/>
      <c r="G797" s="2"/>
      <c r="R797" s="3"/>
      <c r="S797" s="2"/>
      <c r="U797" s="2"/>
      <c r="BA797" s="4"/>
    </row>
    <row r="798" ht="15.75" customHeight="1">
      <c r="C798" s="2"/>
      <c r="E798" s="2"/>
      <c r="G798" s="2"/>
      <c r="R798" s="3"/>
      <c r="S798" s="2"/>
      <c r="U798" s="2"/>
      <c r="BA798" s="4"/>
    </row>
    <row r="799" ht="15.75" customHeight="1">
      <c r="C799" s="2"/>
      <c r="E799" s="2"/>
      <c r="G799" s="2"/>
      <c r="R799" s="3"/>
      <c r="S799" s="2"/>
      <c r="U799" s="2"/>
      <c r="BA799" s="4"/>
    </row>
    <row r="800" ht="15.75" customHeight="1">
      <c r="C800" s="2"/>
      <c r="E800" s="2"/>
      <c r="G800" s="2"/>
      <c r="R800" s="3"/>
      <c r="S800" s="2"/>
      <c r="U800" s="2"/>
      <c r="BA800" s="4"/>
    </row>
    <row r="801" ht="15.75" customHeight="1">
      <c r="C801" s="2"/>
      <c r="E801" s="2"/>
      <c r="G801" s="2"/>
      <c r="R801" s="3"/>
      <c r="S801" s="2"/>
      <c r="U801" s="2"/>
      <c r="BA801" s="4"/>
    </row>
    <row r="802" ht="15.75" customHeight="1">
      <c r="C802" s="2"/>
      <c r="E802" s="2"/>
      <c r="G802" s="2"/>
      <c r="R802" s="3"/>
      <c r="S802" s="2"/>
      <c r="U802" s="2"/>
      <c r="BA802" s="4"/>
    </row>
    <row r="803" ht="15.75" customHeight="1">
      <c r="C803" s="2"/>
      <c r="E803" s="2"/>
      <c r="G803" s="2"/>
      <c r="R803" s="3"/>
      <c r="S803" s="2"/>
      <c r="U803" s="2"/>
      <c r="BA803" s="4"/>
    </row>
    <row r="804" ht="15.75" customHeight="1">
      <c r="C804" s="2"/>
      <c r="E804" s="2"/>
      <c r="G804" s="2"/>
      <c r="R804" s="3"/>
      <c r="S804" s="2"/>
      <c r="U804" s="2"/>
      <c r="BA804" s="4"/>
    </row>
    <row r="805" ht="15.75" customHeight="1">
      <c r="C805" s="2"/>
      <c r="E805" s="2"/>
      <c r="G805" s="2"/>
      <c r="R805" s="3"/>
      <c r="S805" s="2"/>
      <c r="U805" s="2"/>
      <c r="BA805" s="4"/>
    </row>
    <row r="806" ht="15.75" customHeight="1">
      <c r="C806" s="2"/>
      <c r="E806" s="2"/>
      <c r="G806" s="2"/>
      <c r="R806" s="3"/>
      <c r="S806" s="2"/>
      <c r="U806" s="2"/>
      <c r="BA806" s="4"/>
    </row>
    <row r="807" ht="15.75" customHeight="1">
      <c r="C807" s="2"/>
      <c r="E807" s="2"/>
      <c r="G807" s="2"/>
      <c r="R807" s="3"/>
      <c r="S807" s="2"/>
      <c r="U807" s="2"/>
      <c r="BA807" s="4"/>
    </row>
    <row r="808" ht="15.75" customHeight="1">
      <c r="C808" s="2"/>
      <c r="E808" s="2"/>
      <c r="G808" s="2"/>
      <c r="R808" s="3"/>
      <c r="S808" s="2"/>
      <c r="U808" s="2"/>
      <c r="BA808" s="4"/>
    </row>
    <row r="809" ht="15.75" customHeight="1">
      <c r="C809" s="2"/>
      <c r="E809" s="2"/>
      <c r="G809" s="2"/>
      <c r="R809" s="3"/>
      <c r="S809" s="2"/>
      <c r="U809" s="2"/>
      <c r="BA809" s="4"/>
    </row>
    <row r="810" ht="15.75" customHeight="1">
      <c r="C810" s="2"/>
      <c r="E810" s="2"/>
      <c r="G810" s="2"/>
      <c r="R810" s="3"/>
      <c r="S810" s="2"/>
      <c r="U810" s="2"/>
      <c r="BA810" s="4"/>
    </row>
    <row r="811" ht="15.75" customHeight="1">
      <c r="C811" s="2"/>
      <c r="E811" s="2"/>
      <c r="G811" s="2"/>
      <c r="R811" s="3"/>
      <c r="S811" s="2"/>
      <c r="U811" s="2"/>
      <c r="BA811" s="4"/>
    </row>
    <row r="812" ht="15.75" customHeight="1">
      <c r="C812" s="2"/>
      <c r="E812" s="2"/>
      <c r="G812" s="2"/>
      <c r="R812" s="3"/>
      <c r="S812" s="2"/>
      <c r="U812" s="2"/>
      <c r="BA812" s="4"/>
    </row>
    <row r="813" ht="15.75" customHeight="1">
      <c r="C813" s="2"/>
      <c r="E813" s="2"/>
      <c r="G813" s="2"/>
      <c r="R813" s="3"/>
      <c r="S813" s="2"/>
      <c r="U813" s="2"/>
      <c r="BA813" s="4"/>
    </row>
    <row r="814" ht="15.75" customHeight="1">
      <c r="C814" s="2"/>
      <c r="E814" s="2"/>
      <c r="G814" s="2"/>
      <c r="R814" s="3"/>
      <c r="S814" s="2"/>
      <c r="U814" s="2"/>
      <c r="BA814" s="4"/>
    </row>
    <row r="815" ht="15.75" customHeight="1">
      <c r="C815" s="2"/>
      <c r="E815" s="2"/>
      <c r="G815" s="2"/>
      <c r="R815" s="3"/>
      <c r="S815" s="2"/>
      <c r="U815" s="2"/>
      <c r="BA815" s="4"/>
    </row>
    <row r="816" ht="15.75" customHeight="1">
      <c r="C816" s="2"/>
      <c r="E816" s="2"/>
      <c r="G816" s="2"/>
      <c r="R816" s="3"/>
      <c r="S816" s="2"/>
      <c r="U816" s="2"/>
      <c r="BA816" s="4"/>
    </row>
    <row r="817" ht="15.75" customHeight="1">
      <c r="C817" s="2"/>
      <c r="E817" s="2"/>
      <c r="G817" s="2"/>
      <c r="R817" s="3"/>
      <c r="S817" s="2"/>
      <c r="U817" s="2"/>
      <c r="BA817" s="4"/>
    </row>
    <row r="818" ht="15.75" customHeight="1">
      <c r="C818" s="2"/>
      <c r="E818" s="2"/>
      <c r="G818" s="2"/>
      <c r="R818" s="3"/>
      <c r="S818" s="2"/>
      <c r="U818" s="2"/>
      <c r="BA818" s="4"/>
    </row>
    <row r="819" ht="15.75" customHeight="1">
      <c r="C819" s="2"/>
      <c r="E819" s="2"/>
      <c r="G819" s="2"/>
      <c r="R819" s="3"/>
      <c r="S819" s="2"/>
      <c r="U819" s="2"/>
      <c r="BA819" s="4"/>
    </row>
    <row r="820" ht="15.75" customHeight="1">
      <c r="C820" s="2"/>
      <c r="E820" s="2"/>
      <c r="G820" s="2"/>
      <c r="R820" s="3"/>
      <c r="S820" s="2"/>
      <c r="U820" s="2"/>
      <c r="BA820" s="4"/>
    </row>
    <row r="821" ht="15.75" customHeight="1">
      <c r="C821" s="2"/>
      <c r="E821" s="2"/>
      <c r="G821" s="2"/>
      <c r="R821" s="3"/>
      <c r="S821" s="2"/>
      <c r="U821" s="2"/>
      <c r="BA821" s="4"/>
    </row>
    <row r="822" ht="15.75" customHeight="1">
      <c r="C822" s="2"/>
      <c r="E822" s="2"/>
      <c r="G822" s="2"/>
      <c r="R822" s="3"/>
      <c r="S822" s="2"/>
      <c r="U822" s="2"/>
      <c r="BA822" s="4"/>
    </row>
    <row r="823" ht="15.75" customHeight="1">
      <c r="C823" s="2"/>
      <c r="E823" s="2"/>
      <c r="G823" s="2"/>
      <c r="R823" s="3"/>
      <c r="S823" s="2"/>
      <c r="U823" s="2"/>
      <c r="BA823" s="4"/>
    </row>
    <row r="824" ht="15.75" customHeight="1">
      <c r="C824" s="2"/>
      <c r="E824" s="2"/>
      <c r="G824" s="2"/>
      <c r="R824" s="3"/>
      <c r="S824" s="2"/>
      <c r="U824" s="2"/>
      <c r="BA824" s="4"/>
    </row>
    <row r="825" ht="15.75" customHeight="1">
      <c r="C825" s="2"/>
      <c r="E825" s="2"/>
      <c r="G825" s="2"/>
      <c r="R825" s="3"/>
      <c r="S825" s="2"/>
      <c r="U825" s="2"/>
      <c r="BA825" s="4"/>
    </row>
    <row r="826" ht="15.75" customHeight="1">
      <c r="C826" s="2"/>
      <c r="E826" s="2"/>
      <c r="G826" s="2"/>
      <c r="R826" s="3"/>
      <c r="S826" s="2"/>
      <c r="U826" s="2"/>
      <c r="BA826" s="4"/>
    </row>
    <row r="827" ht="15.75" customHeight="1">
      <c r="C827" s="2"/>
      <c r="E827" s="2"/>
      <c r="G827" s="2"/>
      <c r="R827" s="3"/>
      <c r="S827" s="2"/>
      <c r="U827" s="2"/>
      <c r="BA827" s="4"/>
    </row>
    <row r="828" ht="15.75" customHeight="1">
      <c r="C828" s="2"/>
      <c r="E828" s="2"/>
      <c r="G828" s="2"/>
      <c r="R828" s="3"/>
      <c r="S828" s="2"/>
      <c r="U828" s="2"/>
      <c r="BA828" s="4"/>
    </row>
    <row r="829" ht="15.75" customHeight="1">
      <c r="C829" s="2"/>
      <c r="E829" s="2"/>
      <c r="G829" s="2"/>
      <c r="R829" s="3"/>
      <c r="S829" s="2"/>
      <c r="U829" s="2"/>
      <c r="BA829" s="4"/>
    </row>
    <row r="830" ht="15.75" customHeight="1">
      <c r="C830" s="2"/>
      <c r="E830" s="2"/>
      <c r="G830" s="2"/>
      <c r="R830" s="3"/>
      <c r="S830" s="2"/>
      <c r="U830" s="2"/>
      <c r="BA830" s="4"/>
    </row>
    <row r="831" ht="15.75" customHeight="1">
      <c r="C831" s="2"/>
      <c r="E831" s="2"/>
      <c r="G831" s="2"/>
      <c r="R831" s="3"/>
      <c r="S831" s="2"/>
      <c r="U831" s="2"/>
      <c r="BA831" s="4"/>
    </row>
    <row r="832" ht="15.75" customHeight="1">
      <c r="C832" s="2"/>
      <c r="E832" s="2"/>
      <c r="G832" s="2"/>
      <c r="R832" s="3"/>
      <c r="S832" s="2"/>
      <c r="U832" s="2"/>
      <c r="BA832" s="4"/>
    </row>
    <row r="833" ht="15.75" customHeight="1">
      <c r="C833" s="2"/>
      <c r="E833" s="2"/>
      <c r="G833" s="2"/>
      <c r="R833" s="3"/>
      <c r="S833" s="2"/>
      <c r="U833" s="2"/>
      <c r="BA833" s="4"/>
    </row>
    <row r="834" ht="15.75" customHeight="1">
      <c r="C834" s="2"/>
      <c r="E834" s="2"/>
      <c r="G834" s="2"/>
      <c r="R834" s="3"/>
      <c r="S834" s="2"/>
      <c r="U834" s="2"/>
      <c r="BA834" s="4"/>
    </row>
    <row r="835" ht="15.75" customHeight="1">
      <c r="C835" s="2"/>
      <c r="E835" s="2"/>
      <c r="G835" s="2"/>
      <c r="R835" s="3"/>
      <c r="S835" s="2"/>
      <c r="U835" s="2"/>
      <c r="BA835" s="4"/>
    </row>
    <row r="836" ht="15.75" customHeight="1">
      <c r="C836" s="2"/>
      <c r="E836" s="2"/>
      <c r="G836" s="2"/>
      <c r="R836" s="3"/>
      <c r="S836" s="2"/>
      <c r="U836" s="2"/>
      <c r="BA836" s="4"/>
    </row>
    <row r="837" ht="15.75" customHeight="1">
      <c r="C837" s="2"/>
      <c r="E837" s="2"/>
      <c r="G837" s="2"/>
      <c r="R837" s="3"/>
      <c r="S837" s="2"/>
      <c r="U837" s="2"/>
      <c r="BA837" s="4"/>
    </row>
    <row r="838" ht="15.75" customHeight="1">
      <c r="C838" s="2"/>
      <c r="E838" s="2"/>
      <c r="G838" s="2"/>
      <c r="R838" s="3"/>
      <c r="S838" s="2"/>
      <c r="U838" s="2"/>
      <c r="BA838" s="4"/>
    </row>
    <row r="839" ht="15.75" customHeight="1">
      <c r="C839" s="2"/>
      <c r="E839" s="2"/>
      <c r="G839" s="2"/>
      <c r="R839" s="3"/>
      <c r="S839" s="2"/>
      <c r="U839" s="2"/>
      <c r="BA839" s="4"/>
    </row>
    <row r="840" ht="15.75" customHeight="1">
      <c r="C840" s="2"/>
      <c r="E840" s="2"/>
      <c r="G840" s="2"/>
      <c r="R840" s="3"/>
      <c r="S840" s="2"/>
      <c r="U840" s="2"/>
      <c r="BA840" s="4"/>
    </row>
    <row r="841" ht="15.75" customHeight="1">
      <c r="C841" s="2"/>
      <c r="E841" s="2"/>
      <c r="G841" s="2"/>
      <c r="R841" s="3"/>
      <c r="S841" s="2"/>
      <c r="U841" s="2"/>
      <c r="BA841" s="4"/>
    </row>
    <row r="842" ht="15.75" customHeight="1">
      <c r="C842" s="2"/>
      <c r="E842" s="2"/>
      <c r="G842" s="2"/>
      <c r="R842" s="3"/>
      <c r="S842" s="2"/>
      <c r="U842" s="2"/>
      <c r="BA842" s="4"/>
    </row>
    <row r="843" ht="15.75" customHeight="1">
      <c r="C843" s="2"/>
      <c r="E843" s="2"/>
      <c r="G843" s="2"/>
      <c r="R843" s="3"/>
      <c r="S843" s="2"/>
      <c r="U843" s="2"/>
      <c r="BA843" s="4"/>
    </row>
    <row r="844" ht="15.75" customHeight="1">
      <c r="C844" s="2"/>
      <c r="E844" s="2"/>
      <c r="G844" s="2"/>
      <c r="R844" s="3"/>
      <c r="S844" s="2"/>
      <c r="U844" s="2"/>
      <c r="BA844" s="4"/>
    </row>
    <row r="845" ht="15.75" customHeight="1">
      <c r="C845" s="2"/>
      <c r="E845" s="2"/>
      <c r="G845" s="2"/>
      <c r="R845" s="3"/>
      <c r="S845" s="2"/>
      <c r="U845" s="2"/>
      <c r="BA845" s="4"/>
    </row>
    <row r="846" ht="15.75" customHeight="1">
      <c r="C846" s="2"/>
      <c r="E846" s="2"/>
      <c r="G846" s="2"/>
      <c r="R846" s="3"/>
      <c r="S846" s="2"/>
      <c r="U846" s="2"/>
      <c r="BA846" s="4"/>
    </row>
    <row r="847" ht="15.75" customHeight="1">
      <c r="C847" s="2"/>
      <c r="E847" s="2"/>
      <c r="G847" s="2"/>
      <c r="R847" s="3"/>
      <c r="S847" s="2"/>
      <c r="U847" s="2"/>
      <c r="BA847" s="4"/>
    </row>
    <row r="848" ht="15.75" customHeight="1">
      <c r="C848" s="2"/>
      <c r="E848" s="2"/>
      <c r="G848" s="2"/>
      <c r="R848" s="3"/>
      <c r="S848" s="2"/>
      <c r="U848" s="2"/>
      <c r="BA848" s="4"/>
    </row>
    <row r="849" ht="15.75" customHeight="1">
      <c r="C849" s="2"/>
      <c r="E849" s="2"/>
      <c r="G849" s="2"/>
      <c r="R849" s="3"/>
      <c r="S849" s="2"/>
      <c r="U849" s="2"/>
      <c r="BA849" s="4"/>
    </row>
    <row r="850" ht="15.75" customHeight="1">
      <c r="C850" s="2"/>
      <c r="E850" s="2"/>
      <c r="G850" s="2"/>
      <c r="R850" s="3"/>
      <c r="S850" s="2"/>
      <c r="U850" s="2"/>
      <c r="BA850" s="4"/>
    </row>
    <row r="851" ht="15.75" customHeight="1">
      <c r="C851" s="2"/>
      <c r="E851" s="2"/>
      <c r="G851" s="2"/>
      <c r="R851" s="3"/>
      <c r="S851" s="2"/>
      <c r="U851" s="2"/>
      <c r="BA851" s="4"/>
    </row>
    <row r="852" ht="15.75" customHeight="1">
      <c r="C852" s="2"/>
      <c r="E852" s="2"/>
      <c r="G852" s="2"/>
      <c r="R852" s="3"/>
      <c r="S852" s="2"/>
      <c r="U852" s="2"/>
      <c r="BA852" s="4"/>
    </row>
    <row r="853" ht="15.75" customHeight="1">
      <c r="C853" s="2"/>
      <c r="E853" s="2"/>
      <c r="G853" s="2"/>
      <c r="R853" s="3"/>
      <c r="S853" s="2"/>
      <c r="U853" s="2"/>
      <c r="BA853" s="4"/>
    </row>
    <row r="854" ht="15.75" customHeight="1">
      <c r="C854" s="2"/>
      <c r="E854" s="2"/>
      <c r="G854" s="2"/>
      <c r="R854" s="3"/>
      <c r="S854" s="2"/>
      <c r="U854" s="2"/>
      <c r="BA854" s="4"/>
    </row>
    <row r="855" ht="15.75" customHeight="1">
      <c r="C855" s="2"/>
      <c r="E855" s="2"/>
      <c r="G855" s="2"/>
      <c r="R855" s="3"/>
      <c r="S855" s="2"/>
      <c r="U855" s="2"/>
      <c r="BA855" s="4"/>
    </row>
    <row r="856" ht="15.75" customHeight="1">
      <c r="C856" s="2"/>
      <c r="E856" s="2"/>
      <c r="G856" s="2"/>
      <c r="R856" s="3"/>
      <c r="S856" s="2"/>
      <c r="U856" s="2"/>
      <c r="BA856" s="4"/>
    </row>
    <row r="857" ht="15.75" customHeight="1">
      <c r="C857" s="2"/>
      <c r="E857" s="2"/>
      <c r="G857" s="2"/>
      <c r="R857" s="3"/>
      <c r="S857" s="2"/>
      <c r="U857" s="2"/>
      <c r="BA857" s="4"/>
    </row>
    <row r="858" ht="15.75" customHeight="1">
      <c r="C858" s="2"/>
      <c r="E858" s="2"/>
      <c r="G858" s="2"/>
      <c r="R858" s="3"/>
      <c r="S858" s="2"/>
      <c r="U858" s="2"/>
      <c r="BA858" s="4"/>
    </row>
    <row r="859" ht="15.75" customHeight="1">
      <c r="C859" s="2"/>
      <c r="E859" s="2"/>
      <c r="G859" s="2"/>
      <c r="R859" s="3"/>
      <c r="S859" s="2"/>
      <c r="U859" s="2"/>
      <c r="BA859" s="4"/>
    </row>
    <row r="860" ht="15.75" customHeight="1">
      <c r="C860" s="2"/>
      <c r="E860" s="2"/>
      <c r="G860" s="2"/>
      <c r="R860" s="3"/>
      <c r="S860" s="2"/>
      <c r="U860" s="2"/>
      <c r="BA860" s="4"/>
    </row>
    <row r="861" ht="15.75" customHeight="1">
      <c r="C861" s="2"/>
      <c r="E861" s="2"/>
      <c r="G861" s="2"/>
      <c r="R861" s="3"/>
      <c r="S861" s="2"/>
      <c r="U861" s="2"/>
      <c r="BA861" s="4"/>
    </row>
    <row r="862" ht="15.75" customHeight="1">
      <c r="C862" s="2"/>
      <c r="E862" s="2"/>
      <c r="G862" s="2"/>
      <c r="R862" s="3"/>
      <c r="S862" s="2"/>
      <c r="U862" s="2"/>
      <c r="BA862" s="4"/>
    </row>
    <row r="863" ht="15.75" customHeight="1">
      <c r="C863" s="2"/>
      <c r="E863" s="2"/>
      <c r="G863" s="2"/>
      <c r="R863" s="3"/>
      <c r="S863" s="2"/>
      <c r="U863" s="2"/>
      <c r="BA863" s="4"/>
    </row>
    <row r="864" ht="15.75" customHeight="1">
      <c r="C864" s="2"/>
      <c r="E864" s="2"/>
      <c r="G864" s="2"/>
      <c r="R864" s="3"/>
      <c r="S864" s="2"/>
      <c r="U864" s="2"/>
      <c r="BA864" s="4"/>
    </row>
    <row r="865" ht="15.75" customHeight="1">
      <c r="C865" s="2"/>
      <c r="E865" s="2"/>
      <c r="G865" s="2"/>
      <c r="R865" s="3"/>
      <c r="S865" s="2"/>
      <c r="U865" s="2"/>
      <c r="BA865" s="4"/>
    </row>
    <row r="866" ht="15.75" customHeight="1">
      <c r="C866" s="2"/>
      <c r="E866" s="2"/>
      <c r="G866" s="2"/>
      <c r="R866" s="3"/>
      <c r="S866" s="2"/>
      <c r="U866" s="2"/>
      <c r="BA866" s="4"/>
    </row>
    <row r="867" ht="15.75" customHeight="1">
      <c r="C867" s="2"/>
      <c r="E867" s="2"/>
      <c r="G867" s="2"/>
      <c r="R867" s="3"/>
      <c r="S867" s="2"/>
      <c r="U867" s="2"/>
      <c r="BA867" s="4"/>
    </row>
    <row r="868" ht="15.75" customHeight="1">
      <c r="C868" s="2"/>
      <c r="E868" s="2"/>
      <c r="G868" s="2"/>
      <c r="R868" s="3"/>
      <c r="S868" s="2"/>
      <c r="U868" s="2"/>
      <c r="BA868" s="4"/>
    </row>
    <row r="869" ht="15.75" customHeight="1">
      <c r="C869" s="2"/>
      <c r="E869" s="2"/>
      <c r="G869" s="2"/>
      <c r="R869" s="3"/>
      <c r="S869" s="2"/>
      <c r="U869" s="2"/>
      <c r="BA869" s="4"/>
    </row>
    <row r="870" ht="15.75" customHeight="1">
      <c r="C870" s="2"/>
      <c r="E870" s="2"/>
      <c r="G870" s="2"/>
      <c r="R870" s="3"/>
      <c r="S870" s="2"/>
      <c r="U870" s="2"/>
      <c r="BA870" s="4"/>
    </row>
    <row r="871" ht="15.75" customHeight="1">
      <c r="C871" s="2"/>
      <c r="E871" s="2"/>
      <c r="G871" s="2"/>
      <c r="R871" s="3"/>
      <c r="S871" s="2"/>
      <c r="U871" s="2"/>
      <c r="BA871" s="4"/>
    </row>
    <row r="872" ht="15.75" customHeight="1">
      <c r="C872" s="2"/>
      <c r="E872" s="2"/>
      <c r="G872" s="2"/>
      <c r="R872" s="3"/>
      <c r="S872" s="2"/>
      <c r="U872" s="2"/>
      <c r="BA872" s="4"/>
    </row>
    <row r="873" ht="15.75" customHeight="1">
      <c r="C873" s="2"/>
      <c r="E873" s="2"/>
      <c r="G873" s="2"/>
      <c r="R873" s="3"/>
      <c r="S873" s="2"/>
      <c r="U873" s="2"/>
      <c r="BA873" s="4"/>
    </row>
    <row r="874" ht="15.75" customHeight="1">
      <c r="C874" s="2"/>
      <c r="E874" s="2"/>
      <c r="G874" s="2"/>
      <c r="R874" s="3"/>
      <c r="S874" s="2"/>
      <c r="U874" s="2"/>
      <c r="BA874" s="4"/>
    </row>
    <row r="875" ht="15.75" customHeight="1">
      <c r="C875" s="2"/>
      <c r="E875" s="2"/>
      <c r="G875" s="2"/>
      <c r="R875" s="3"/>
      <c r="S875" s="2"/>
      <c r="U875" s="2"/>
      <c r="BA875" s="4"/>
    </row>
    <row r="876" ht="15.75" customHeight="1">
      <c r="C876" s="2"/>
      <c r="E876" s="2"/>
      <c r="G876" s="2"/>
      <c r="R876" s="3"/>
      <c r="S876" s="2"/>
      <c r="U876" s="2"/>
      <c r="BA876" s="4"/>
    </row>
    <row r="877" ht="15.75" customHeight="1">
      <c r="C877" s="2"/>
      <c r="E877" s="2"/>
      <c r="G877" s="2"/>
      <c r="R877" s="3"/>
      <c r="S877" s="2"/>
      <c r="U877" s="2"/>
      <c r="BA877" s="4"/>
    </row>
    <row r="878" ht="15.75" customHeight="1">
      <c r="C878" s="2"/>
      <c r="E878" s="2"/>
      <c r="G878" s="2"/>
      <c r="R878" s="3"/>
      <c r="S878" s="2"/>
      <c r="U878" s="2"/>
      <c r="BA878" s="4"/>
    </row>
    <row r="879" ht="15.75" customHeight="1">
      <c r="C879" s="2"/>
      <c r="E879" s="2"/>
      <c r="G879" s="2"/>
      <c r="R879" s="3"/>
      <c r="S879" s="2"/>
      <c r="U879" s="2"/>
      <c r="BA879" s="4"/>
    </row>
    <row r="880" ht="15.75" customHeight="1">
      <c r="C880" s="2"/>
      <c r="E880" s="2"/>
      <c r="G880" s="2"/>
      <c r="R880" s="3"/>
      <c r="S880" s="2"/>
      <c r="U880" s="2"/>
      <c r="BA880" s="4"/>
    </row>
    <row r="881" ht="15.75" customHeight="1">
      <c r="C881" s="2"/>
      <c r="E881" s="2"/>
      <c r="G881" s="2"/>
      <c r="R881" s="3"/>
      <c r="S881" s="2"/>
      <c r="U881" s="2"/>
      <c r="BA881" s="4"/>
    </row>
    <row r="882" ht="15.75" customHeight="1">
      <c r="C882" s="2"/>
      <c r="E882" s="2"/>
      <c r="G882" s="2"/>
      <c r="R882" s="3"/>
      <c r="S882" s="2"/>
      <c r="U882" s="2"/>
      <c r="BA882" s="4"/>
    </row>
    <row r="883" ht="15.75" customHeight="1">
      <c r="C883" s="2"/>
      <c r="E883" s="2"/>
      <c r="G883" s="2"/>
      <c r="R883" s="3"/>
      <c r="S883" s="2"/>
      <c r="U883" s="2"/>
      <c r="BA883" s="4"/>
    </row>
    <row r="884" ht="15.75" customHeight="1">
      <c r="C884" s="2"/>
      <c r="E884" s="2"/>
      <c r="G884" s="2"/>
      <c r="R884" s="3"/>
      <c r="S884" s="2"/>
      <c r="U884" s="2"/>
      <c r="BA884" s="4"/>
    </row>
    <row r="885" ht="15.75" customHeight="1">
      <c r="C885" s="2"/>
      <c r="E885" s="2"/>
      <c r="G885" s="2"/>
      <c r="R885" s="3"/>
      <c r="S885" s="2"/>
      <c r="U885" s="2"/>
      <c r="BA885" s="4"/>
    </row>
    <row r="886" ht="15.75" customHeight="1">
      <c r="C886" s="2"/>
      <c r="E886" s="2"/>
      <c r="G886" s="2"/>
      <c r="R886" s="3"/>
      <c r="S886" s="2"/>
      <c r="U886" s="2"/>
      <c r="BA886" s="4"/>
    </row>
    <row r="887" ht="15.75" customHeight="1">
      <c r="C887" s="2"/>
      <c r="E887" s="2"/>
      <c r="G887" s="2"/>
      <c r="R887" s="3"/>
      <c r="S887" s="2"/>
      <c r="U887" s="2"/>
      <c r="BA887" s="4"/>
    </row>
    <row r="888" ht="15.75" customHeight="1">
      <c r="C888" s="2"/>
      <c r="E888" s="2"/>
      <c r="G888" s="2"/>
      <c r="R888" s="3"/>
      <c r="S888" s="2"/>
      <c r="U888" s="2"/>
      <c r="BA888" s="4"/>
    </row>
    <row r="889" ht="15.75" customHeight="1">
      <c r="C889" s="2"/>
      <c r="E889" s="2"/>
      <c r="G889" s="2"/>
      <c r="R889" s="3"/>
      <c r="S889" s="2"/>
      <c r="U889" s="2"/>
      <c r="BA889" s="4"/>
    </row>
    <row r="890" ht="15.75" customHeight="1">
      <c r="C890" s="2"/>
      <c r="E890" s="2"/>
      <c r="G890" s="2"/>
      <c r="R890" s="3"/>
      <c r="S890" s="2"/>
      <c r="U890" s="2"/>
      <c r="BA890" s="4"/>
    </row>
    <row r="891" ht="15.75" customHeight="1">
      <c r="C891" s="2"/>
      <c r="E891" s="2"/>
      <c r="G891" s="2"/>
      <c r="R891" s="3"/>
      <c r="S891" s="2"/>
      <c r="U891" s="2"/>
      <c r="BA891" s="4"/>
    </row>
    <row r="892" ht="15.75" customHeight="1">
      <c r="C892" s="2"/>
      <c r="E892" s="2"/>
      <c r="G892" s="2"/>
      <c r="R892" s="3"/>
      <c r="S892" s="2"/>
      <c r="U892" s="2"/>
      <c r="BA892" s="4"/>
    </row>
    <row r="893" ht="15.75" customHeight="1">
      <c r="C893" s="2"/>
      <c r="E893" s="2"/>
      <c r="G893" s="2"/>
      <c r="R893" s="3"/>
      <c r="S893" s="2"/>
      <c r="U893" s="2"/>
      <c r="BA893" s="4"/>
    </row>
    <row r="894" ht="15.75" customHeight="1">
      <c r="C894" s="2"/>
      <c r="E894" s="2"/>
      <c r="G894" s="2"/>
      <c r="R894" s="3"/>
      <c r="S894" s="2"/>
      <c r="U894" s="2"/>
      <c r="BA894" s="4"/>
    </row>
    <row r="895" ht="15.75" customHeight="1">
      <c r="C895" s="2"/>
      <c r="E895" s="2"/>
      <c r="G895" s="2"/>
      <c r="R895" s="3"/>
      <c r="S895" s="2"/>
      <c r="U895" s="2"/>
      <c r="BA895" s="4"/>
    </row>
    <row r="896" ht="15.75" customHeight="1">
      <c r="C896" s="2"/>
      <c r="E896" s="2"/>
      <c r="G896" s="2"/>
      <c r="R896" s="3"/>
      <c r="S896" s="2"/>
      <c r="U896" s="2"/>
      <c r="BA896" s="4"/>
    </row>
    <row r="897" ht="15.75" customHeight="1">
      <c r="C897" s="2"/>
      <c r="E897" s="2"/>
      <c r="G897" s="2"/>
      <c r="R897" s="3"/>
      <c r="S897" s="2"/>
      <c r="U897" s="2"/>
      <c r="BA897" s="4"/>
    </row>
    <row r="898" ht="15.75" customHeight="1">
      <c r="C898" s="2"/>
      <c r="E898" s="2"/>
      <c r="G898" s="2"/>
      <c r="R898" s="3"/>
      <c r="S898" s="2"/>
      <c r="U898" s="2"/>
      <c r="BA898" s="4"/>
    </row>
    <row r="899" ht="15.75" customHeight="1">
      <c r="C899" s="2"/>
      <c r="E899" s="2"/>
      <c r="G899" s="2"/>
      <c r="R899" s="3"/>
      <c r="S899" s="2"/>
      <c r="U899" s="2"/>
      <c r="BA899" s="4"/>
    </row>
    <row r="900" ht="15.75" customHeight="1">
      <c r="C900" s="2"/>
      <c r="E900" s="2"/>
      <c r="G900" s="2"/>
      <c r="R900" s="3"/>
      <c r="S900" s="2"/>
      <c r="U900" s="2"/>
      <c r="BA900" s="4"/>
    </row>
    <row r="901" ht="15.75" customHeight="1">
      <c r="C901" s="2"/>
      <c r="E901" s="2"/>
      <c r="G901" s="2"/>
      <c r="R901" s="3"/>
      <c r="S901" s="2"/>
      <c r="U901" s="2"/>
      <c r="BA901" s="4"/>
    </row>
    <row r="902" ht="15.75" customHeight="1">
      <c r="C902" s="2"/>
      <c r="E902" s="2"/>
      <c r="G902" s="2"/>
      <c r="R902" s="3"/>
      <c r="S902" s="2"/>
      <c r="U902" s="2"/>
      <c r="BA902" s="4"/>
    </row>
    <row r="903" ht="15.75" customHeight="1">
      <c r="C903" s="2"/>
      <c r="E903" s="2"/>
      <c r="G903" s="2"/>
      <c r="R903" s="3"/>
      <c r="S903" s="2"/>
      <c r="U903" s="2"/>
      <c r="BA903" s="4"/>
    </row>
    <row r="904" ht="15.75" customHeight="1">
      <c r="C904" s="2"/>
      <c r="E904" s="2"/>
      <c r="G904" s="2"/>
      <c r="R904" s="3"/>
      <c r="S904" s="2"/>
      <c r="U904" s="2"/>
      <c r="BA904" s="4"/>
    </row>
    <row r="905" ht="15.75" customHeight="1">
      <c r="C905" s="2"/>
      <c r="E905" s="2"/>
      <c r="G905" s="2"/>
      <c r="R905" s="3"/>
      <c r="S905" s="2"/>
      <c r="U905" s="2"/>
      <c r="BA905" s="4"/>
    </row>
    <row r="906" ht="15.75" customHeight="1">
      <c r="C906" s="2"/>
      <c r="E906" s="2"/>
      <c r="G906" s="2"/>
      <c r="R906" s="3"/>
      <c r="S906" s="2"/>
      <c r="U906" s="2"/>
      <c r="BA906" s="4"/>
    </row>
    <row r="907" ht="15.75" customHeight="1">
      <c r="C907" s="2"/>
      <c r="E907" s="2"/>
      <c r="G907" s="2"/>
      <c r="R907" s="3"/>
      <c r="S907" s="2"/>
      <c r="U907" s="2"/>
      <c r="BA907" s="4"/>
    </row>
    <row r="908" ht="15.75" customHeight="1">
      <c r="C908" s="2"/>
      <c r="E908" s="2"/>
      <c r="G908" s="2"/>
      <c r="R908" s="3"/>
      <c r="S908" s="2"/>
      <c r="U908" s="2"/>
      <c r="BA908" s="4"/>
    </row>
    <row r="909" ht="15.75" customHeight="1">
      <c r="C909" s="2"/>
      <c r="E909" s="2"/>
      <c r="G909" s="2"/>
      <c r="R909" s="3"/>
      <c r="S909" s="2"/>
      <c r="U909" s="2"/>
      <c r="BA909" s="4"/>
    </row>
    <row r="910" ht="15.75" customHeight="1">
      <c r="C910" s="2"/>
      <c r="E910" s="2"/>
      <c r="G910" s="2"/>
      <c r="R910" s="3"/>
      <c r="S910" s="2"/>
      <c r="U910" s="2"/>
      <c r="BA910" s="4"/>
    </row>
    <row r="911" ht="15.75" customHeight="1">
      <c r="C911" s="2"/>
      <c r="E911" s="2"/>
      <c r="G911" s="2"/>
      <c r="R911" s="3"/>
      <c r="S911" s="2"/>
      <c r="U911" s="2"/>
      <c r="BA911" s="4"/>
    </row>
    <row r="912" ht="15.75" customHeight="1">
      <c r="C912" s="2"/>
      <c r="E912" s="2"/>
      <c r="G912" s="2"/>
      <c r="R912" s="3"/>
      <c r="S912" s="2"/>
      <c r="U912" s="2"/>
      <c r="BA912" s="4"/>
    </row>
    <row r="913" ht="15.75" customHeight="1">
      <c r="C913" s="2"/>
      <c r="E913" s="2"/>
      <c r="G913" s="2"/>
      <c r="R913" s="3"/>
      <c r="S913" s="2"/>
      <c r="U913" s="2"/>
      <c r="BA913" s="4"/>
    </row>
    <row r="914" ht="15.75" customHeight="1">
      <c r="C914" s="2"/>
      <c r="E914" s="2"/>
      <c r="G914" s="2"/>
      <c r="R914" s="3"/>
      <c r="S914" s="2"/>
      <c r="U914" s="2"/>
      <c r="BA914" s="4"/>
    </row>
    <row r="915" ht="15.75" customHeight="1">
      <c r="C915" s="2"/>
      <c r="E915" s="2"/>
      <c r="G915" s="2"/>
      <c r="R915" s="3"/>
      <c r="S915" s="2"/>
      <c r="U915" s="2"/>
      <c r="BA915" s="4"/>
    </row>
    <row r="916" ht="15.75" customHeight="1">
      <c r="C916" s="2"/>
      <c r="E916" s="2"/>
      <c r="G916" s="2"/>
      <c r="R916" s="3"/>
      <c r="S916" s="2"/>
      <c r="U916" s="2"/>
      <c r="BA916" s="4"/>
    </row>
    <row r="917" ht="15.75" customHeight="1">
      <c r="C917" s="2"/>
      <c r="E917" s="2"/>
      <c r="G917" s="2"/>
      <c r="R917" s="3"/>
      <c r="S917" s="2"/>
      <c r="U917" s="2"/>
      <c r="BA917" s="4"/>
    </row>
    <row r="918" ht="15.75" customHeight="1">
      <c r="C918" s="2"/>
      <c r="E918" s="2"/>
      <c r="G918" s="2"/>
      <c r="R918" s="3"/>
      <c r="S918" s="2"/>
      <c r="U918" s="2"/>
      <c r="BA918" s="4"/>
    </row>
    <row r="919" ht="15.75" customHeight="1">
      <c r="C919" s="2"/>
      <c r="E919" s="2"/>
      <c r="G919" s="2"/>
      <c r="R919" s="3"/>
      <c r="S919" s="2"/>
      <c r="U919" s="2"/>
      <c r="BA919" s="4"/>
    </row>
    <row r="920" ht="15.75" customHeight="1">
      <c r="C920" s="2"/>
      <c r="E920" s="2"/>
      <c r="G920" s="2"/>
      <c r="R920" s="3"/>
      <c r="S920" s="2"/>
      <c r="U920" s="2"/>
      <c r="BA920" s="4"/>
    </row>
    <row r="921" ht="15.75" customHeight="1">
      <c r="C921" s="2"/>
      <c r="E921" s="2"/>
      <c r="G921" s="2"/>
      <c r="R921" s="3"/>
      <c r="S921" s="2"/>
      <c r="U921" s="2"/>
      <c r="BA921" s="4"/>
    </row>
    <row r="922" ht="15.75" customHeight="1">
      <c r="C922" s="2"/>
      <c r="E922" s="2"/>
      <c r="G922" s="2"/>
      <c r="R922" s="3"/>
      <c r="S922" s="2"/>
      <c r="U922" s="2"/>
      <c r="BA922" s="4"/>
    </row>
    <row r="923" ht="15.75" customHeight="1">
      <c r="C923" s="2"/>
      <c r="E923" s="2"/>
      <c r="G923" s="2"/>
      <c r="R923" s="3"/>
      <c r="S923" s="2"/>
      <c r="U923" s="2"/>
      <c r="BA923" s="4"/>
    </row>
    <row r="924" ht="15.75" customHeight="1">
      <c r="C924" s="2"/>
      <c r="E924" s="2"/>
      <c r="G924" s="2"/>
      <c r="R924" s="3"/>
      <c r="S924" s="2"/>
      <c r="U924" s="2"/>
      <c r="BA924" s="4"/>
    </row>
    <row r="925" ht="15.75" customHeight="1">
      <c r="C925" s="2"/>
      <c r="E925" s="2"/>
      <c r="G925" s="2"/>
      <c r="R925" s="3"/>
      <c r="S925" s="2"/>
      <c r="U925" s="2"/>
      <c r="BA925" s="4"/>
    </row>
    <row r="926" ht="15.75" customHeight="1">
      <c r="C926" s="2"/>
      <c r="E926" s="2"/>
      <c r="G926" s="2"/>
      <c r="R926" s="3"/>
      <c r="S926" s="2"/>
      <c r="U926" s="2"/>
      <c r="BA926" s="4"/>
    </row>
    <row r="927" ht="15.75" customHeight="1">
      <c r="C927" s="2"/>
      <c r="E927" s="2"/>
      <c r="G927" s="2"/>
      <c r="R927" s="3"/>
      <c r="S927" s="2"/>
      <c r="U927" s="2"/>
      <c r="BA927" s="4"/>
    </row>
    <row r="928" ht="15.75" customHeight="1">
      <c r="C928" s="2"/>
      <c r="E928" s="2"/>
      <c r="G928" s="2"/>
      <c r="R928" s="3"/>
      <c r="S928" s="2"/>
      <c r="U928" s="2"/>
      <c r="BA928" s="4"/>
    </row>
    <row r="929" ht="15.75" customHeight="1">
      <c r="C929" s="2"/>
      <c r="E929" s="2"/>
      <c r="G929" s="2"/>
      <c r="R929" s="3"/>
      <c r="S929" s="2"/>
      <c r="U929" s="2"/>
      <c r="BA929" s="4"/>
    </row>
    <row r="930" ht="15.75" customHeight="1">
      <c r="C930" s="2"/>
      <c r="E930" s="2"/>
      <c r="G930" s="2"/>
      <c r="R930" s="3"/>
      <c r="S930" s="2"/>
      <c r="U930" s="2"/>
      <c r="BA930" s="4"/>
    </row>
    <row r="931" ht="15.75" customHeight="1">
      <c r="C931" s="2"/>
      <c r="E931" s="2"/>
      <c r="G931" s="2"/>
      <c r="R931" s="3"/>
      <c r="S931" s="2"/>
      <c r="U931" s="2"/>
      <c r="BA931" s="4"/>
    </row>
    <row r="932" ht="15.75" customHeight="1">
      <c r="C932" s="2"/>
      <c r="E932" s="2"/>
      <c r="G932" s="2"/>
      <c r="R932" s="3"/>
      <c r="S932" s="2"/>
      <c r="U932" s="2"/>
      <c r="BA932" s="4"/>
    </row>
    <row r="933" ht="15.75" customHeight="1">
      <c r="C933" s="2"/>
      <c r="E933" s="2"/>
      <c r="G933" s="2"/>
      <c r="R933" s="3"/>
      <c r="S933" s="2"/>
      <c r="U933" s="2"/>
      <c r="BA933" s="4"/>
    </row>
    <row r="934" ht="15.75" customHeight="1">
      <c r="C934" s="2"/>
      <c r="E934" s="2"/>
      <c r="G934" s="2"/>
      <c r="R934" s="3"/>
      <c r="S934" s="2"/>
      <c r="U934" s="2"/>
      <c r="BA934" s="4"/>
    </row>
    <row r="935" ht="15.75" customHeight="1">
      <c r="C935" s="2"/>
      <c r="E935" s="2"/>
      <c r="G935" s="2"/>
      <c r="R935" s="3"/>
      <c r="S935" s="2"/>
      <c r="U935" s="2"/>
      <c r="BA935" s="4"/>
    </row>
    <row r="936" ht="15.75" customHeight="1">
      <c r="C936" s="2"/>
      <c r="E936" s="2"/>
      <c r="G936" s="2"/>
      <c r="R936" s="3"/>
      <c r="S936" s="2"/>
      <c r="U936" s="2"/>
      <c r="BA936" s="4"/>
    </row>
    <row r="937" ht="15.75" customHeight="1">
      <c r="C937" s="2"/>
      <c r="E937" s="2"/>
      <c r="G937" s="2"/>
      <c r="R937" s="3"/>
      <c r="S937" s="2"/>
      <c r="U937" s="2"/>
      <c r="BA937" s="4"/>
    </row>
    <row r="938" ht="15.75" customHeight="1">
      <c r="C938" s="2"/>
      <c r="E938" s="2"/>
      <c r="G938" s="2"/>
      <c r="R938" s="3"/>
      <c r="S938" s="2"/>
      <c r="U938" s="2"/>
      <c r="BA938" s="4"/>
    </row>
    <row r="939" ht="15.75" customHeight="1">
      <c r="C939" s="2"/>
      <c r="E939" s="2"/>
      <c r="G939" s="2"/>
      <c r="R939" s="3"/>
      <c r="S939" s="2"/>
      <c r="U939" s="2"/>
      <c r="BA939" s="4"/>
    </row>
    <row r="940" ht="15.75" customHeight="1">
      <c r="C940" s="2"/>
      <c r="E940" s="2"/>
      <c r="G940" s="2"/>
      <c r="R940" s="3"/>
      <c r="S940" s="2"/>
      <c r="U940" s="2"/>
      <c r="BA940" s="4"/>
    </row>
    <row r="941" ht="15.75" customHeight="1">
      <c r="C941" s="2"/>
      <c r="E941" s="2"/>
      <c r="G941" s="2"/>
      <c r="R941" s="3"/>
      <c r="S941" s="2"/>
      <c r="U941" s="2"/>
      <c r="BA941" s="4"/>
    </row>
    <row r="942" ht="15.75" customHeight="1">
      <c r="C942" s="2"/>
      <c r="E942" s="2"/>
      <c r="G942" s="2"/>
      <c r="R942" s="3"/>
      <c r="S942" s="2"/>
      <c r="U942" s="2"/>
      <c r="BA942" s="4"/>
    </row>
    <row r="943" ht="15.75" customHeight="1">
      <c r="C943" s="2"/>
      <c r="E943" s="2"/>
      <c r="G943" s="2"/>
      <c r="R943" s="3"/>
      <c r="S943" s="2"/>
      <c r="U943" s="2"/>
      <c r="BA943" s="4"/>
    </row>
    <row r="944" ht="15.75" customHeight="1">
      <c r="C944" s="2"/>
      <c r="E944" s="2"/>
      <c r="G944" s="2"/>
      <c r="R944" s="3"/>
      <c r="S944" s="2"/>
      <c r="U944" s="2"/>
      <c r="BA944" s="4"/>
    </row>
    <row r="945" ht="15.75" customHeight="1">
      <c r="C945" s="2"/>
      <c r="E945" s="2"/>
      <c r="G945" s="2"/>
      <c r="R945" s="3"/>
      <c r="S945" s="2"/>
      <c r="U945" s="2"/>
      <c r="BA945" s="4"/>
    </row>
    <row r="946" ht="15.75" customHeight="1">
      <c r="C946" s="2"/>
      <c r="E946" s="2"/>
      <c r="G946" s="2"/>
      <c r="R946" s="3"/>
      <c r="S946" s="2"/>
      <c r="U946" s="2"/>
      <c r="BA946" s="4"/>
    </row>
    <row r="947" ht="15.75" customHeight="1">
      <c r="C947" s="2"/>
      <c r="E947" s="2"/>
      <c r="G947" s="2"/>
      <c r="R947" s="3"/>
      <c r="S947" s="2"/>
      <c r="U947" s="2"/>
      <c r="BA947" s="4"/>
    </row>
    <row r="948" ht="15.75" customHeight="1">
      <c r="C948" s="2"/>
      <c r="E948" s="2"/>
      <c r="G948" s="2"/>
      <c r="R948" s="3"/>
      <c r="S948" s="2"/>
      <c r="U948" s="2"/>
      <c r="BA948" s="4"/>
    </row>
    <row r="949" ht="15.75" customHeight="1">
      <c r="C949" s="2"/>
      <c r="E949" s="2"/>
      <c r="G949" s="2"/>
      <c r="R949" s="3"/>
      <c r="S949" s="2"/>
      <c r="U949" s="2"/>
      <c r="BA949" s="4"/>
    </row>
    <row r="950" ht="15.75" customHeight="1">
      <c r="C950" s="2"/>
      <c r="E950" s="2"/>
      <c r="G950" s="2"/>
      <c r="R950" s="3"/>
      <c r="S950" s="2"/>
      <c r="U950" s="2"/>
      <c r="BA950" s="4"/>
    </row>
    <row r="951" ht="15.75" customHeight="1">
      <c r="C951" s="2"/>
      <c r="E951" s="2"/>
      <c r="G951" s="2"/>
      <c r="R951" s="3"/>
      <c r="S951" s="2"/>
      <c r="U951" s="2"/>
      <c r="BA951" s="4"/>
    </row>
    <row r="952" ht="15.75" customHeight="1">
      <c r="C952" s="2"/>
      <c r="E952" s="2"/>
      <c r="G952" s="2"/>
      <c r="R952" s="3"/>
      <c r="S952" s="2"/>
      <c r="U952" s="2"/>
      <c r="BA952" s="4"/>
    </row>
    <row r="953" ht="15.75" customHeight="1">
      <c r="C953" s="2"/>
      <c r="E953" s="2"/>
      <c r="G953" s="2"/>
      <c r="R953" s="3"/>
      <c r="S953" s="2"/>
      <c r="U953" s="2"/>
      <c r="BA953" s="4"/>
    </row>
    <row r="954" ht="15.75" customHeight="1">
      <c r="C954" s="2"/>
      <c r="E954" s="2"/>
      <c r="G954" s="2"/>
      <c r="R954" s="3"/>
      <c r="S954" s="2"/>
      <c r="U954" s="2"/>
      <c r="BA954" s="4"/>
    </row>
    <row r="955" ht="15.75" customHeight="1">
      <c r="C955" s="2"/>
      <c r="E955" s="2"/>
      <c r="G955" s="2"/>
      <c r="R955" s="3"/>
      <c r="S955" s="2"/>
      <c r="U955" s="2"/>
      <c r="BA955" s="4"/>
    </row>
    <row r="956" ht="15.75" customHeight="1">
      <c r="C956" s="2"/>
      <c r="E956" s="2"/>
      <c r="G956" s="2"/>
      <c r="R956" s="3"/>
      <c r="S956" s="2"/>
      <c r="U956" s="2"/>
      <c r="BA956" s="4"/>
    </row>
    <row r="957" ht="15.75" customHeight="1">
      <c r="C957" s="2"/>
      <c r="E957" s="2"/>
      <c r="G957" s="2"/>
      <c r="R957" s="3"/>
      <c r="S957" s="2"/>
      <c r="U957" s="2"/>
      <c r="BA957" s="4"/>
    </row>
    <row r="958" ht="15.75" customHeight="1">
      <c r="C958" s="2"/>
      <c r="E958" s="2"/>
      <c r="G958" s="2"/>
      <c r="R958" s="3"/>
      <c r="S958" s="2"/>
      <c r="U958" s="2"/>
      <c r="BA958" s="4"/>
    </row>
    <row r="959" ht="15.75" customHeight="1">
      <c r="C959" s="2"/>
      <c r="E959" s="2"/>
      <c r="G959" s="2"/>
      <c r="R959" s="3"/>
      <c r="S959" s="2"/>
      <c r="U959" s="2"/>
      <c r="BA959" s="4"/>
    </row>
    <row r="960" ht="15.75" customHeight="1">
      <c r="C960" s="2"/>
      <c r="E960" s="2"/>
      <c r="G960" s="2"/>
      <c r="R960" s="3"/>
      <c r="S960" s="2"/>
      <c r="U960" s="2"/>
      <c r="BA960" s="4"/>
    </row>
    <row r="961" ht="15.75" customHeight="1">
      <c r="C961" s="2"/>
      <c r="E961" s="2"/>
      <c r="G961" s="2"/>
      <c r="R961" s="3"/>
      <c r="S961" s="2"/>
      <c r="U961" s="2"/>
      <c r="BA961" s="4"/>
    </row>
    <row r="962" ht="15.75" customHeight="1">
      <c r="C962" s="2"/>
      <c r="E962" s="2"/>
      <c r="G962" s="2"/>
      <c r="R962" s="3"/>
      <c r="S962" s="2"/>
      <c r="U962" s="2"/>
      <c r="BA962" s="4"/>
    </row>
    <row r="963" ht="15.75" customHeight="1">
      <c r="C963" s="2"/>
      <c r="E963" s="2"/>
      <c r="G963" s="2"/>
      <c r="R963" s="3"/>
      <c r="S963" s="2"/>
      <c r="U963" s="2"/>
      <c r="BA963" s="4"/>
    </row>
    <row r="964" ht="15.75" customHeight="1">
      <c r="C964" s="2"/>
      <c r="E964" s="2"/>
      <c r="G964" s="2"/>
      <c r="R964" s="3"/>
      <c r="S964" s="2"/>
      <c r="U964" s="2"/>
      <c r="BA964" s="4"/>
    </row>
    <row r="965" ht="15.75" customHeight="1">
      <c r="C965" s="2"/>
      <c r="E965" s="2"/>
      <c r="G965" s="2"/>
      <c r="R965" s="3"/>
      <c r="S965" s="2"/>
      <c r="U965" s="2"/>
      <c r="BA965" s="4"/>
    </row>
    <row r="966" ht="15.75" customHeight="1">
      <c r="C966" s="2"/>
      <c r="E966" s="2"/>
      <c r="G966" s="2"/>
      <c r="R966" s="3"/>
      <c r="S966" s="2"/>
      <c r="U966" s="2"/>
      <c r="BA966" s="4"/>
    </row>
    <row r="967" ht="15.75" customHeight="1">
      <c r="C967" s="2"/>
      <c r="E967" s="2"/>
      <c r="G967" s="2"/>
      <c r="R967" s="3"/>
      <c r="S967" s="2"/>
      <c r="U967" s="2"/>
      <c r="BA967" s="4"/>
    </row>
    <row r="968" ht="15.75" customHeight="1">
      <c r="C968" s="2"/>
      <c r="E968" s="2"/>
      <c r="G968" s="2"/>
      <c r="R968" s="3"/>
      <c r="S968" s="2"/>
      <c r="U968" s="2"/>
      <c r="BA968" s="4"/>
    </row>
    <row r="969" ht="15.75" customHeight="1">
      <c r="C969" s="2"/>
      <c r="E969" s="2"/>
      <c r="G969" s="2"/>
      <c r="R969" s="3"/>
      <c r="S969" s="2"/>
      <c r="U969" s="2"/>
      <c r="BA969" s="4"/>
    </row>
    <row r="970" ht="15.75" customHeight="1">
      <c r="C970" s="2"/>
      <c r="E970" s="2"/>
      <c r="G970" s="2"/>
      <c r="R970" s="3"/>
      <c r="S970" s="2"/>
      <c r="U970" s="2"/>
      <c r="BA970" s="4"/>
    </row>
    <row r="971" ht="15.75" customHeight="1">
      <c r="C971" s="2"/>
      <c r="E971" s="2"/>
      <c r="G971" s="2"/>
      <c r="R971" s="3"/>
      <c r="S971" s="2"/>
      <c r="U971" s="2"/>
      <c r="BA971" s="4"/>
    </row>
    <row r="972" ht="15.75" customHeight="1">
      <c r="C972" s="2"/>
      <c r="E972" s="2"/>
      <c r="G972" s="2"/>
      <c r="R972" s="3"/>
      <c r="S972" s="2"/>
      <c r="U972" s="2"/>
      <c r="BA972" s="4"/>
    </row>
    <row r="973" ht="15.75" customHeight="1">
      <c r="C973" s="2"/>
      <c r="E973" s="2"/>
      <c r="G973" s="2"/>
      <c r="R973" s="3"/>
      <c r="S973" s="2"/>
      <c r="U973" s="2"/>
      <c r="BA973" s="4"/>
    </row>
    <row r="974" ht="15.75" customHeight="1">
      <c r="C974" s="2"/>
      <c r="E974" s="2"/>
      <c r="G974" s="2"/>
      <c r="R974" s="3"/>
      <c r="S974" s="2"/>
      <c r="U974" s="2"/>
      <c r="BA974" s="4"/>
    </row>
    <row r="975" ht="15.75" customHeight="1">
      <c r="C975" s="2"/>
      <c r="E975" s="2"/>
      <c r="G975" s="2"/>
      <c r="R975" s="3"/>
      <c r="S975" s="2"/>
      <c r="U975" s="2"/>
      <c r="BA975" s="4"/>
    </row>
    <row r="976" ht="15.75" customHeight="1">
      <c r="C976" s="2"/>
      <c r="E976" s="2"/>
      <c r="G976" s="2"/>
      <c r="R976" s="3"/>
      <c r="S976" s="2"/>
      <c r="U976" s="2"/>
      <c r="BA976" s="4"/>
    </row>
    <row r="977" ht="15.75" customHeight="1">
      <c r="C977" s="2"/>
      <c r="E977" s="2"/>
      <c r="G977" s="2"/>
      <c r="R977" s="3"/>
      <c r="S977" s="2"/>
      <c r="U977" s="2"/>
      <c r="BA977" s="4"/>
    </row>
    <row r="978" ht="15.75" customHeight="1">
      <c r="C978" s="2"/>
      <c r="E978" s="2"/>
      <c r="G978" s="2"/>
      <c r="R978" s="3"/>
      <c r="S978" s="2"/>
      <c r="U978" s="2"/>
      <c r="BA978" s="4"/>
    </row>
    <row r="979" ht="15.75" customHeight="1">
      <c r="C979" s="2"/>
      <c r="E979" s="2"/>
      <c r="G979" s="2"/>
      <c r="R979" s="3"/>
      <c r="S979" s="2"/>
      <c r="U979" s="2"/>
      <c r="BA979" s="4"/>
    </row>
    <row r="980" ht="15.75" customHeight="1">
      <c r="C980" s="2"/>
      <c r="E980" s="2"/>
      <c r="G980" s="2"/>
      <c r="R980" s="3"/>
      <c r="S980" s="2"/>
      <c r="U980" s="2"/>
      <c r="BA980" s="4"/>
    </row>
    <row r="981" ht="15.75" customHeight="1">
      <c r="C981" s="2"/>
      <c r="E981" s="2"/>
      <c r="G981" s="2"/>
      <c r="R981" s="3"/>
      <c r="S981" s="2"/>
      <c r="U981" s="2"/>
      <c r="BA981" s="4"/>
    </row>
    <row r="982" ht="15.75" customHeight="1">
      <c r="C982" s="2"/>
      <c r="E982" s="2"/>
      <c r="G982" s="2"/>
      <c r="R982" s="3"/>
      <c r="S982" s="2"/>
      <c r="U982" s="2"/>
      <c r="BA982" s="4"/>
    </row>
    <row r="983" ht="15.75" customHeight="1">
      <c r="C983" s="2"/>
      <c r="E983" s="2"/>
      <c r="G983" s="2"/>
      <c r="R983" s="3"/>
      <c r="S983" s="2"/>
      <c r="U983" s="2"/>
      <c r="BA983" s="4"/>
    </row>
    <row r="984" ht="15.75" customHeight="1">
      <c r="C984" s="2"/>
      <c r="E984" s="2"/>
      <c r="G984" s="2"/>
      <c r="R984" s="3"/>
      <c r="S984" s="2"/>
      <c r="U984" s="2"/>
      <c r="BA984" s="4"/>
    </row>
    <row r="985" ht="15.75" customHeight="1">
      <c r="C985" s="2"/>
      <c r="E985" s="2"/>
      <c r="G985" s="2"/>
      <c r="R985" s="3"/>
      <c r="S985" s="2"/>
      <c r="U985" s="2"/>
      <c r="BA985" s="4"/>
    </row>
    <row r="986" ht="15.75" customHeight="1">
      <c r="C986" s="2"/>
      <c r="E986" s="2"/>
      <c r="G986" s="2"/>
      <c r="R986" s="3"/>
      <c r="S986" s="2"/>
      <c r="U986" s="2"/>
      <c r="BA986" s="4"/>
    </row>
    <row r="987" ht="15.75" customHeight="1">
      <c r="C987" s="2"/>
      <c r="E987" s="2"/>
      <c r="G987" s="2"/>
      <c r="R987" s="3"/>
      <c r="S987" s="2"/>
      <c r="U987" s="2"/>
      <c r="BA987" s="4"/>
    </row>
    <row r="988" ht="15.75" customHeight="1">
      <c r="C988" s="2"/>
      <c r="E988" s="2"/>
      <c r="G988" s="2"/>
      <c r="R988" s="3"/>
      <c r="S988" s="2"/>
      <c r="U988" s="2"/>
      <c r="BA988" s="4"/>
    </row>
    <row r="989" ht="15.75" customHeight="1">
      <c r="C989" s="2"/>
      <c r="E989" s="2"/>
      <c r="G989" s="2"/>
      <c r="R989" s="3"/>
      <c r="S989" s="2"/>
      <c r="U989" s="2"/>
      <c r="BA989" s="4"/>
    </row>
    <row r="990" ht="15.75" customHeight="1">
      <c r="C990" s="2"/>
      <c r="E990" s="2"/>
      <c r="G990" s="2"/>
      <c r="R990" s="3"/>
      <c r="S990" s="2"/>
      <c r="U990" s="2"/>
      <c r="BA990" s="4"/>
    </row>
    <row r="991" ht="15.75" customHeight="1">
      <c r="C991" s="2"/>
      <c r="E991" s="2"/>
      <c r="G991" s="2"/>
      <c r="R991" s="3"/>
      <c r="S991" s="2"/>
      <c r="U991" s="2"/>
      <c r="BA991" s="4"/>
    </row>
    <row r="992" ht="15.75" customHeight="1">
      <c r="C992" s="2"/>
      <c r="E992" s="2"/>
      <c r="G992" s="2"/>
      <c r="R992" s="3"/>
      <c r="S992" s="2"/>
      <c r="U992" s="2"/>
      <c r="BA992" s="4"/>
    </row>
    <row r="993" ht="15.75" customHeight="1">
      <c r="C993" s="2"/>
      <c r="E993" s="2"/>
      <c r="G993" s="2"/>
      <c r="R993" s="3"/>
      <c r="S993" s="2"/>
      <c r="U993" s="2"/>
      <c r="BA993" s="4"/>
    </row>
    <row r="994" ht="15.75" customHeight="1">
      <c r="C994" s="2"/>
      <c r="E994" s="2"/>
      <c r="G994" s="2"/>
      <c r="R994" s="3"/>
      <c r="S994" s="2"/>
      <c r="U994" s="2"/>
      <c r="BA994" s="4"/>
    </row>
    <row r="995" ht="15.75" customHeight="1">
      <c r="C995" s="2"/>
      <c r="E995" s="2"/>
      <c r="G995" s="2"/>
      <c r="R995" s="3"/>
      <c r="S995" s="2"/>
      <c r="U995" s="2"/>
      <c r="BA995" s="4"/>
    </row>
    <row r="996" ht="15.75" customHeight="1">
      <c r="C996" s="2"/>
      <c r="E996" s="2"/>
      <c r="G996" s="2"/>
      <c r="R996" s="3"/>
      <c r="S996" s="2"/>
      <c r="U996" s="2"/>
      <c r="BA996" s="4"/>
    </row>
    <row r="997" ht="15.75" customHeight="1">
      <c r="C997" s="2"/>
      <c r="E997" s="2"/>
      <c r="G997" s="2"/>
      <c r="R997" s="3"/>
      <c r="S997" s="2"/>
      <c r="U997" s="2"/>
      <c r="BA997" s="4"/>
    </row>
    <row r="998" ht="15.75" customHeight="1">
      <c r="C998" s="2"/>
      <c r="E998" s="2"/>
      <c r="G998" s="2"/>
      <c r="R998" s="3"/>
      <c r="S998" s="2"/>
      <c r="U998" s="2"/>
      <c r="BA998" s="4"/>
    </row>
    <row r="999" ht="15.75" customHeight="1">
      <c r="C999" s="2"/>
      <c r="E999" s="2"/>
      <c r="G999" s="2"/>
      <c r="R999" s="3"/>
      <c r="S999" s="2"/>
      <c r="U999" s="2"/>
      <c r="BA999" s="4"/>
    </row>
    <row r="1000" ht="15.75" customHeight="1">
      <c r="C1000" s="2"/>
      <c r="E1000" s="2"/>
      <c r="G1000" s="2"/>
      <c r="R1000" s="3"/>
      <c r="S1000" s="2"/>
      <c r="U1000" s="2"/>
      <c r="BA1000" s="4"/>
    </row>
    <row r="1001" ht="15.75" customHeight="1">
      <c r="C1001" s="2"/>
      <c r="E1001" s="2"/>
      <c r="G1001" s="2"/>
      <c r="R1001" s="3"/>
      <c r="S1001" s="2"/>
      <c r="U1001" s="2"/>
      <c r="BA1001" s="4"/>
    </row>
    <row r="1002" ht="15.75" customHeight="1">
      <c r="C1002" s="2"/>
      <c r="E1002" s="2"/>
      <c r="G1002" s="2"/>
      <c r="R1002" s="3"/>
      <c r="S1002" s="2"/>
      <c r="U1002" s="2"/>
      <c r="BA1002" s="4"/>
    </row>
    <row r="1003" ht="15.75" customHeight="1">
      <c r="C1003" s="2"/>
      <c r="E1003" s="2"/>
      <c r="G1003" s="2"/>
      <c r="R1003" s="3"/>
      <c r="S1003" s="2"/>
      <c r="U1003" s="2"/>
      <c r="BA1003" s="4"/>
    </row>
    <row r="1004" ht="15.75" customHeight="1">
      <c r="C1004" s="2"/>
      <c r="E1004" s="2"/>
      <c r="G1004" s="2"/>
      <c r="R1004" s="3"/>
      <c r="S1004" s="2"/>
      <c r="U1004" s="2"/>
      <c r="BA1004" s="4"/>
    </row>
    <row r="1005" ht="15.75" customHeight="1">
      <c r="C1005" s="2"/>
      <c r="E1005" s="2"/>
      <c r="G1005" s="2"/>
      <c r="R1005" s="3"/>
      <c r="S1005" s="2"/>
      <c r="U1005" s="2"/>
      <c r="BA1005" s="4"/>
    </row>
    <row r="1006" ht="15.75" customHeight="1">
      <c r="C1006" s="2"/>
      <c r="E1006" s="2"/>
      <c r="G1006" s="2"/>
      <c r="R1006" s="3"/>
      <c r="S1006" s="2"/>
      <c r="U1006" s="2"/>
      <c r="BA1006" s="4"/>
    </row>
    <row r="1007" ht="15.75" customHeight="1">
      <c r="C1007" s="2"/>
      <c r="E1007" s="2"/>
      <c r="G1007" s="2"/>
      <c r="R1007" s="3"/>
      <c r="S1007" s="2"/>
      <c r="U1007" s="2"/>
      <c r="BA1007" s="4"/>
    </row>
    <row r="1008" ht="15.75" customHeight="1">
      <c r="C1008" s="2"/>
      <c r="E1008" s="2"/>
      <c r="G1008" s="2"/>
      <c r="R1008" s="3"/>
      <c r="S1008" s="2"/>
      <c r="U1008" s="2"/>
      <c r="BA1008" s="4"/>
    </row>
    <row r="1009" ht="15.75" customHeight="1">
      <c r="C1009" s="2"/>
      <c r="E1009" s="2"/>
      <c r="G1009" s="2"/>
      <c r="R1009" s="3"/>
      <c r="S1009" s="2"/>
      <c r="U1009" s="2"/>
      <c r="BA1009" s="4"/>
    </row>
    <row r="1010" ht="15.75" customHeight="1">
      <c r="C1010" s="2"/>
      <c r="E1010" s="2"/>
      <c r="G1010" s="2"/>
      <c r="R1010" s="3"/>
      <c r="S1010" s="2"/>
      <c r="U1010" s="2"/>
      <c r="BA1010" s="4"/>
    </row>
    <row r="1011" ht="15.75" customHeight="1">
      <c r="C1011" s="2"/>
      <c r="E1011" s="2"/>
      <c r="G1011" s="2"/>
      <c r="R1011" s="3"/>
      <c r="S1011" s="2"/>
      <c r="U1011" s="2"/>
      <c r="BA1011" s="4"/>
    </row>
    <row r="1012" ht="15.75" customHeight="1">
      <c r="C1012" s="2"/>
      <c r="E1012" s="2"/>
      <c r="G1012" s="2"/>
      <c r="R1012" s="3"/>
      <c r="S1012" s="2"/>
      <c r="U1012" s="2"/>
      <c r="BA1012" s="4"/>
    </row>
    <row r="1013" ht="15.75" customHeight="1">
      <c r="C1013" s="2"/>
      <c r="E1013" s="2"/>
      <c r="G1013" s="2"/>
      <c r="R1013" s="3"/>
      <c r="S1013" s="2"/>
      <c r="U1013" s="2"/>
      <c r="BA1013" s="4"/>
    </row>
    <row r="1014" ht="15.75" customHeight="1">
      <c r="C1014" s="2"/>
      <c r="E1014" s="2"/>
      <c r="G1014" s="2"/>
      <c r="R1014" s="3"/>
      <c r="S1014" s="2"/>
      <c r="U1014" s="2"/>
      <c r="BA1014" s="4"/>
    </row>
    <row r="1015" ht="15.75" customHeight="1">
      <c r="C1015" s="2"/>
      <c r="E1015" s="2"/>
      <c r="G1015" s="2"/>
      <c r="R1015" s="3"/>
      <c r="S1015" s="2"/>
      <c r="U1015" s="2"/>
      <c r="BA1015" s="4"/>
    </row>
    <row r="1016" ht="15.75" customHeight="1">
      <c r="C1016" s="2"/>
      <c r="E1016" s="2"/>
      <c r="G1016" s="2"/>
      <c r="R1016" s="3"/>
      <c r="S1016" s="2"/>
      <c r="U1016" s="2"/>
      <c r="BA1016" s="4"/>
    </row>
    <row r="1017" ht="15.75" customHeight="1">
      <c r="C1017" s="2"/>
      <c r="E1017" s="2"/>
      <c r="G1017" s="2"/>
      <c r="R1017" s="3"/>
      <c r="S1017" s="2"/>
      <c r="U1017" s="2"/>
      <c r="BA1017" s="4"/>
    </row>
    <row r="1018" ht="15.75" customHeight="1">
      <c r="C1018" s="2"/>
      <c r="E1018" s="2"/>
      <c r="G1018" s="2"/>
      <c r="R1018" s="3"/>
      <c r="S1018" s="2"/>
      <c r="U1018" s="2"/>
      <c r="BA1018" s="4"/>
    </row>
    <row r="1019" ht="15.75" customHeight="1">
      <c r="C1019" s="2"/>
      <c r="E1019" s="2"/>
      <c r="G1019" s="2"/>
      <c r="R1019" s="3"/>
      <c r="S1019" s="2"/>
      <c r="U1019" s="2"/>
      <c r="BA1019" s="4"/>
    </row>
    <row r="1020" ht="15.75" customHeight="1">
      <c r="C1020" s="2"/>
      <c r="E1020" s="2"/>
      <c r="G1020" s="2"/>
      <c r="R1020" s="3"/>
      <c r="S1020" s="2"/>
      <c r="U1020" s="2"/>
      <c r="BA1020" s="4"/>
    </row>
    <row r="1021" ht="15.75" customHeight="1">
      <c r="C1021" s="2"/>
      <c r="E1021" s="2"/>
      <c r="G1021" s="2"/>
      <c r="R1021" s="3"/>
      <c r="S1021" s="2"/>
      <c r="U1021" s="2"/>
      <c r="BA1021" s="4"/>
    </row>
    <row r="1022" ht="15.75" customHeight="1">
      <c r="C1022" s="2"/>
      <c r="E1022" s="2"/>
      <c r="G1022" s="2"/>
      <c r="R1022" s="3"/>
      <c r="S1022" s="2"/>
      <c r="U1022" s="2"/>
      <c r="BA1022" s="4"/>
    </row>
    <row r="1023" ht="15.75" customHeight="1">
      <c r="C1023" s="2"/>
      <c r="E1023" s="2"/>
      <c r="G1023" s="2"/>
      <c r="R1023" s="3"/>
      <c r="S1023" s="2"/>
      <c r="U1023" s="2"/>
      <c r="BA1023" s="4"/>
    </row>
    <row r="1024" ht="15.75" customHeight="1">
      <c r="C1024" s="2"/>
      <c r="E1024" s="2"/>
      <c r="G1024" s="2"/>
      <c r="R1024" s="3"/>
      <c r="S1024" s="2"/>
      <c r="U1024" s="2"/>
      <c r="BA1024" s="4"/>
    </row>
    <row r="1025" ht="15.75" customHeight="1">
      <c r="C1025" s="2"/>
      <c r="E1025" s="2"/>
      <c r="G1025" s="2"/>
      <c r="R1025" s="3"/>
      <c r="S1025" s="2"/>
      <c r="U1025" s="2"/>
      <c r="BA1025" s="4"/>
    </row>
    <row r="1026" ht="15.75" customHeight="1">
      <c r="C1026" s="2"/>
      <c r="E1026" s="2"/>
      <c r="G1026" s="2"/>
      <c r="R1026" s="3"/>
      <c r="S1026" s="2"/>
      <c r="U1026" s="2"/>
      <c r="BA1026" s="4"/>
    </row>
    <row r="1027" ht="15.75" customHeight="1">
      <c r="C1027" s="2"/>
      <c r="E1027" s="2"/>
      <c r="G1027" s="2"/>
      <c r="R1027" s="3"/>
      <c r="S1027" s="2"/>
      <c r="U1027" s="2"/>
      <c r="BA1027" s="4"/>
    </row>
    <row r="1028" ht="15.75" customHeight="1">
      <c r="C1028" s="2"/>
      <c r="E1028" s="2"/>
      <c r="G1028" s="2"/>
      <c r="R1028" s="3"/>
      <c r="S1028" s="2"/>
      <c r="U1028" s="2"/>
      <c r="BA1028" s="4"/>
    </row>
    <row r="1029" ht="15.75" customHeight="1">
      <c r="C1029" s="2"/>
      <c r="E1029" s="2"/>
      <c r="G1029" s="2"/>
      <c r="R1029" s="3"/>
      <c r="S1029" s="2"/>
      <c r="U1029" s="2"/>
      <c r="BA1029" s="4"/>
    </row>
    <row r="1030" ht="15.75" customHeight="1">
      <c r="C1030" s="2"/>
      <c r="E1030" s="2"/>
      <c r="G1030" s="2"/>
      <c r="R1030" s="3"/>
      <c r="S1030" s="2"/>
      <c r="U1030" s="2"/>
      <c r="BA1030" s="4"/>
    </row>
    <row r="1031" ht="15.75" customHeight="1">
      <c r="C1031" s="2"/>
      <c r="E1031" s="2"/>
      <c r="G1031" s="2"/>
      <c r="R1031" s="3"/>
      <c r="S1031" s="2"/>
      <c r="U1031" s="2"/>
      <c r="BA1031" s="4"/>
    </row>
    <row r="1032" ht="15.75" customHeight="1">
      <c r="C1032" s="2"/>
      <c r="E1032" s="2"/>
      <c r="G1032" s="2"/>
      <c r="R1032" s="3"/>
      <c r="S1032" s="2"/>
      <c r="U1032" s="2"/>
      <c r="BA1032" s="4"/>
    </row>
    <row r="1033" ht="15.75" customHeight="1">
      <c r="C1033" s="2"/>
      <c r="E1033" s="2"/>
      <c r="G1033" s="2"/>
      <c r="R1033" s="3"/>
      <c r="S1033" s="2"/>
      <c r="U1033" s="2"/>
      <c r="BA1033" s="4"/>
    </row>
    <row r="1034" ht="15.75" customHeight="1">
      <c r="C1034" s="2"/>
      <c r="E1034" s="2"/>
      <c r="G1034" s="2"/>
      <c r="R1034" s="3"/>
      <c r="S1034" s="2"/>
      <c r="U1034" s="2"/>
      <c r="BA1034" s="4"/>
    </row>
    <row r="1035" ht="15.75" customHeight="1">
      <c r="C1035" s="2"/>
      <c r="E1035" s="2"/>
      <c r="G1035" s="2"/>
      <c r="R1035" s="3"/>
      <c r="S1035" s="2"/>
      <c r="U1035" s="2"/>
      <c r="BA1035" s="4"/>
    </row>
    <row r="1036" ht="15.75" customHeight="1">
      <c r="C1036" s="2"/>
      <c r="E1036" s="2"/>
      <c r="G1036" s="2"/>
      <c r="R1036" s="3"/>
      <c r="S1036" s="2"/>
      <c r="U1036" s="2"/>
      <c r="BA1036" s="4"/>
    </row>
    <row r="1037" ht="15.75" customHeight="1">
      <c r="C1037" s="2"/>
      <c r="E1037" s="2"/>
      <c r="G1037" s="2"/>
      <c r="R1037" s="3"/>
      <c r="S1037" s="2"/>
      <c r="U1037" s="2"/>
      <c r="BA1037" s="4"/>
    </row>
    <row r="1038" ht="15.75" customHeight="1">
      <c r="C1038" s="2"/>
      <c r="E1038" s="2"/>
      <c r="G1038" s="2"/>
      <c r="R1038" s="3"/>
      <c r="S1038" s="2"/>
      <c r="U1038" s="2"/>
      <c r="BA1038" s="4"/>
    </row>
    <row r="1039" ht="15.75" customHeight="1">
      <c r="C1039" s="2"/>
      <c r="E1039" s="2"/>
      <c r="G1039" s="2"/>
      <c r="R1039" s="3"/>
      <c r="S1039" s="2"/>
      <c r="U1039" s="2"/>
      <c r="BA1039" s="4"/>
    </row>
    <row r="1040" ht="15.75" customHeight="1">
      <c r="C1040" s="2"/>
      <c r="E1040" s="2"/>
      <c r="G1040" s="2"/>
      <c r="R1040" s="3"/>
      <c r="S1040" s="2"/>
      <c r="U1040" s="2"/>
      <c r="BA1040" s="4"/>
    </row>
    <row r="1041" ht="15.75" customHeight="1">
      <c r="C1041" s="2"/>
      <c r="E1041" s="2"/>
      <c r="G1041" s="2"/>
      <c r="R1041" s="3"/>
      <c r="S1041" s="2"/>
      <c r="U1041" s="2"/>
      <c r="BA1041" s="4"/>
    </row>
    <row r="1042" ht="15.75" customHeight="1">
      <c r="C1042" s="2"/>
      <c r="E1042" s="2"/>
      <c r="G1042" s="2"/>
      <c r="R1042" s="3"/>
      <c r="S1042" s="2"/>
      <c r="U1042" s="2"/>
      <c r="BA1042" s="4"/>
    </row>
    <row r="1043" ht="15.75" customHeight="1">
      <c r="C1043" s="2"/>
      <c r="E1043" s="2"/>
      <c r="G1043" s="2"/>
      <c r="R1043" s="3"/>
      <c r="S1043" s="2"/>
      <c r="U1043" s="2"/>
      <c r="BA1043" s="4"/>
    </row>
    <row r="1044" ht="15.75" customHeight="1">
      <c r="C1044" s="2"/>
      <c r="E1044" s="2"/>
      <c r="G1044" s="2"/>
      <c r="R1044" s="3"/>
      <c r="S1044" s="2"/>
      <c r="U1044" s="2"/>
      <c r="BA1044" s="4"/>
    </row>
    <row r="1045" ht="15.75" customHeight="1">
      <c r="C1045" s="2"/>
      <c r="E1045" s="2"/>
      <c r="G1045" s="2"/>
      <c r="R1045" s="3"/>
      <c r="S1045" s="2"/>
      <c r="U1045" s="2"/>
      <c r="BA1045" s="4"/>
    </row>
    <row r="1046" ht="15.75" customHeight="1">
      <c r="C1046" s="2"/>
      <c r="E1046" s="2"/>
      <c r="G1046" s="2"/>
      <c r="R1046" s="3"/>
      <c r="S1046" s="2"/>
      <c r="U1046" s="2"/>
      <c r="BA1046" s="4"/>
    </row>
    <row r="1047" ht="15.75" customHeight="1">
      <c r="C1047" s="2"/>
      <c r="E1047" s="2"/>
      <c r="G1047" s="2"/>
      <c r="R1047" s="3"/>
      <c r="S1047" s="2"/>
      <c r="U1047" s="2"/>
      <c r="BA1047" s="4"/>
    </row>
    <row r="1048" ht="15.75" customHeight="1">
      <c r="C1048" s="2"/>
      <c r="E1048" s="2"/>
      <c r="G1048" s="2"/>
      <c r="R1048" s="3"/>
      <c r="S1048" s="2"/>
      <c r="U1048" s="2"/>
      <c r="BA1048" s="4"/>
    </row>
    <row r="1049" ht="15.75" customHeight="1">
      <c r="C1049" s="2"/>
      <c r="E1049" s="2"/>
      <c r="G1049" s="2"/>
      <c r="R1049" s="3"/>
      <c r="S1049" s="2"/>
      <c r="U1049" s="2"/>
      <c r="BA1049" s="4"/>
    </row>
    <row r="1050" ht="15.75" customHeight="1">
      <c r="C1050" s="2"/>
      <c r="E1050" s="2"/>
      <c r="G1050" s="2"/>
      <c r="R1050" s="3"/>
      <c r="S1050" s="2"/>
      <c r="U1050" s="2"/>
      <c r="BA1050" s="4"/>
    </row>
    <row r="1051" ht="15.75" customHeight="1">
      <c r="C1051" s="2"/>
      <c r="E1051" s="2"/>
      <c r="G1051" s="2"/>
      <c r="R1051" s="3"/>
      <c r="S1051" s="2"/>
      <c r="U1051" s="2"/>
      <c r="BA1051" s="4"/>
    </row>
    <row r="1052" ht="15.75" customHeight="1">
      <c r="C1052" s="2"/>
      <c r="E1052" s="2"/>
      <c r="G1052" s="2"/>
      <c r="R1052" s="3"/>
      <c r="S1052" s="2"/>
      <c r="U1052" s="2"/>
      <c r="BA1052" s="4"/>
    </row>
    <row r="1053" ht="15.75" customHeight="1">
      <c r="C1053" s="2"/>
      <c r="E1053" s="2"/>
      <c r="G1053" s="2"/>
      <c r="R1053" s="3"/>
      <c r="S1053" s="2"/>
      <c r="U1053" s="2"/>
      <c r="BA1053" s="4"/>
    </row>
    <row r="1054" ht="15.75" customHeight="1">
      <c r="C1054" s="2"/>
      <c r="E1054" s="2"/>
      <c r="G1054" s="2"/>
      <c r="R1054" s="3"/>
      <c r="S1054" s="2"/>
      <c r="U1054" s="2"/>
      <c r="BA1054" s="4"/>
    </row>
    <row r="1055" ht="15.75" customHeight="1">
      <c r="C1055" s="2"/>
      <c r="E1055" s="2"/>
      <c r="G1055" s="2"/>
      <c r="R1055" s="3"/>
      <c r="S1055" s="2"/>
      <c r="U1055" s="2"/>
      <c r="BA1055" s="4"/>
    </row>
    <row r="1056" ht="15.75" customHeight="1">
      <c r="C1056" s="2"/>
      <c r="E1056" s="2"/>
      <c r="G1056" s="2"/>
      <c r="R1056" s="3"/>
      <c r="S1056" s="2"/>
      <c r="U1056" s="2"/>
      <c r="BA1056" s="4"/>
    </row>
    <row r="1057" ht="15.75" customHeight="1">
      <c r="C1057" s="2"/>
      <c r="E1057" s="2"/>
      <c r="G1057" s="2"/>
      <c r="R1057" s="3"/>
      <c r="S1057" s="2"/>
      <c r="U1057" s="2"/>
      <c r="BA1057" s="4"/>
    </row>
    <row r="1058" ht="15.75" customHeight="1">
      <c r="C1058" s="2"/>
      <c r="E1058" s="2"/>
      <c r="G1058" s="2"/>
      <c r="R1058" s="3"/>
      <c r="S1058" s="2"/>
      <c r="U1058" s="2"/>
      <c r="BA1058" s="4"/>
    </row>
    <row r="1059" ht="15.75" customHeight="1">
      <c r="C1059" s="2"/>
      <c r="E1059" s="2"/>
      <c r="G1059" s="2"/>
      <c r="R1059" s="3"/>
      <c r="S1059" s="2"/>
      <c r="U1059" s="2"/>
      <c r="BA1059" s="4"/>
    </row>
    <row r="1060" ht="15.75" customHeight="1">
      <c r="C1060" s="2"/>
      <c r="E1060" s="2"/>
      <c r="G1060" s="2"/>
      <c r="R1060" s="3"/>
      <c r="S1060" s="2"/>
      <c r="U1060" s="2"/>
      <c r="BA1060" s="4"/>
    </row>
    <row r="1061" ht="15.75" customHeight="1">
      <c r="C1061" s="2"/>
      <c r="E1061" s="2"/>
      <c r="G1061" s="2"/>
      <c r="R1061" s="3"/>
      <c r="S1061" s="2"/>
      <c r="U1061" s="2"/>
      <c r="BA1061" s="4"/>
    </row>
    <row r="1062" ht="15.75" customHeight="1">
      <c r="C1062" s="2"/>
      <c r="E1062" s="2"/>
      <c r="G1062" s="2"/>
      <c r="R1062" s="3"/>
      <c r="S1062" s="2"/>
      <c r="U1062" s="2"/>
      <c r="BA1062" s="4"/>
    </row>
    <row r="1063" ht="15.75" customHeight="1">
      <c r="C1063" s="2"/>
      <c r="E1063" s="2"/>
      <c r="G1063" s="2"/>
      <c r="R1063" s="3"/>
      <c r="S1063" s="2"/>
      <c r="U1063" s="2"/>
      <c r="BA1063" s="4"/>
    </row>
    <row r="1064" ht="15.75" customHeight="1">
      <c r="C1064" s="2"/>
      <c r="E1064" s="2"/>
      <c r="G1064" s="2"/>
      <c r="R1064" s="3"/>
      <c r="S1064" s="2"/>
      <c r="U1064" s="2"/>
      <c r="BA1064" s="4"/>
    </row>
    <row r="1065" ht="15.75" customHeight="1">
      <c r="C1065" s="2"/>
      <c r="E1065" s="2"/>
      <c r="G1065" s="2"/>
      <c r="R1065" s="3"/>
      <c r="S1065" s="2"/>
      <c r="U1065" s="2"/>
      <c r="BA1065" s="4"/>
    </row>
    <row r="1066" ht="15.75" customHeight="1">
      <c r="C1066" s="2"/>
      <c r="E1066" s="2"/>
      <c r="G1066" s="2"/>
      <c r="R1066" s="3"/>
      <c r="S1066" s="2"/>
      <c r="U1066" s="2"/>
      <c r="BA1066" s="4"/>
    </row>
    <row r="1067" ht="15.75" customHeight="1">
      <c r="C1067" s="2"/>
      <c r="E1067" s="2"/>
      <c r="G1067" s="2"/>
      <c r="R1067" s="3"/>
      <c r="S1067" s="2"/>
      <c r="U1067" s="2"/>
      <c r="BA1067" s="4"/>
    </row>
    <row r="1068" ht="15.75" customHeight="1">
      <c r="C1068" s="2"/>
      <c r="E1068" s="2"/>
      <c r="G1068" s="2"/>
      <c r="R1068" s="3"/>
      <c r="S1068" s="2"/>
      <c r="U1068" s="2"/>
      <c r="BA1068" s="4"/>
    </row>
    <row r="1069" ht="15.75" customHeight="1">
      <c r="C1069" s="2"/>
      <c r="E1069" s="2"/>
      <c r="G1069" s="2"/>
      <c r="R1069" s="3"/>
      <c r="S1069" s="2"/>
      <c r="U1069" s="2"/>
      <c r="BA1069" s="4"/>
    </row>
    <row r="1070" ht="15.75" customHeight="1">
      <c r="C1070" s="2"/>
      <c r="E1070" s="2"/>
      <c r="G1070" s="2"/>
      <c r="R1070" s="3"/>
      <c r="S1070" s="2"/>
      <c r="U1070" s="2"/>
      <c r="BA1070" s="4"/>
    </row>
    <row r="1071" ht="15.75" customHeight="1">
      <c r="C1071" s="2"/>
      <c r="E1071" s="2"/>
      <c r="G1071" s="2"/>
      <c r="R1071" s="3"/>
      <c r="S1071" s="2"/>
      <c r="U1071" s="2"/>
      <c r="BA1071" s="4"/>
    </row>
    <row r="1072" ht="15.75" customHeight="1">
      <c r="C1072" s="2"/>
      <c r="E1072" s="2"/>
      <c r="G1072" s="2"/>
      <c r="R1072" s="3"/>
      <c r="S1072" s="2"/>
      <c r="U1072" s="2"/>
      <c r="BA1072" s="4"/>
    </row>
    <row r="1073" ht="15.75" customHeight="1">
      <c r="C1073" s="2"/>
      <c r="E1073" s="2"/>
      <c r="G1073" s="2"/>
      <c r="R1073" s="3"/>
      <c r="S1073" s="2"/>
      <c r="U1073" s="2"/>
      <c r="BA1073" s="4"/>
    </row>
    <row r="1074" ht="15.75" customHeight="1">
      <c r="C1074" s="2"/>
      <c r="E1074" s="2"/>
      <c r="G1074" s="2"/>
      <c r="R1074" s="3"/>
      <c r="S1074" s="2"/>
      <c r="U1074" s="2"/>
      <c r="BA1074" s="4"/>
    </row>
    <row r="1075" ht="15.75" customHeight="1">
      <c r="C1075" s="2"/>
      <c r="E1075" s="2"/>
      <c r="G1075" s="2"/>
      <c r="R1075" s="3"/>
      <c r="S1075" s="2"/>
      <c r="U1075" s="2"/>
      <c r="BA1075" s="4"/>
    </row>
    <row r="1076" ht="15.75" customHeight="1">
      <c r="C1076" s="2"/>
      <c r="E1076" s="2"/>
      <c r="G1076" s="2"/>
      <c r="R1076" s="3"/>
      <c r="S1076" s="2"/>
      <c r="U1076" s="2"/>
      <c r="BA1076" s="4"/>
    </row>
    <row r="1077" ht="15.75" customHeight="1">
      <c r="C1077" s="2"/>
      <c r="E1077" s="2"/>
      <c r="G1077" s="2"/>
      <c r="R1077" s="3"/>
      <c r="S1077" s="2"/>
      <c r="U1077" s="2"/>
      <c r="BA1077" s="4"/>
    </row>
    <row r="1078" ht="15.75" customHeight="1">
      <c r="C1078" s="2"/>
      <c r="E1078" s="2"/>
      <c r="G1078" s="2"/>
      <c r="R1078" s="3"/>
      <c r="S1078" s="2"/>
      <c r="U1078" s="2"/>
      <c r="BA1078" s="4"/>
    </row>
    <row r="1079" ht="15.75" customHeight="1">
      <c r="C1079" s="2"/>
      <c r="E1079" s="2"/>
      <c r="G1079" s="2"/>
      <c r="R1079" s="3"/>
      <c r="S1079" s="2"/>
      <c r="U1079" s="2"/>
      <c r="BA1079" s="4"/>
    </row>
    <row r="1080" ht="15.75" customHeight="1">
      <c r="C1080" s="2"/>
      <c r="E1080" s="2"/>
      <c r="G1080" s="2"/>
      <c r="R1080" s="3"/>
      <c r="S1080" s="2"/>
      <c r="U1080" s="2"/>
      <c r="BA1080" s="4"/>
    </row>
    <row r="1081" ht="15.75" customHeight="1">
      <c r="C1081" s="2"/>
      <c r="E1081" s="2"/>
      <c r="G1081" s="2"/>
      <c r="R1081" s="3"/>
      <c r="S1081" s="2"/>
      <c r="U1081" s="2"/>
      <c r="BA1081" s="4"/>
    </row>
    <row r="1082" ht="15.75" customHeight="1">
      <c r="C1082" s="2"/>
      <c r="E1082" s="2"/>
      <c r="G1082" s="2"/>
      <c r="R1082" s="3"/>
      <c r="S1082" s="2"/>
      <c r="U1082" s="2"/>
      <c r="BA1082" s="4"/>
    </row>
    <row r="1083" ht="15.75" customHeight="1">
      <c r="C1083" s="2"/>
      <c r="E1083" s="2"/>
      <c r="G1083" s="2"/>
      <c r="R1083" s="3"/>
      <c r="S1083" s="2"/>
      <c r="U1083" s="2"/>
      <c r="BA1083" s="4"/>
    </row>
    <row r="1084" ht="15.75" customHeight="1">
      <c r="C1084" s="2"/>
      <c r="E1084" s="2"/>
      <c r="G1084" s="2"/>
      <c r="R1084" s="3"/>
      <c r="S1084" s="2"/>
      <c r="U1084" s="2"/>
      <c r="BA1084" s="4"/>
    </row>
    <row r="1085" ht="15.75" customHeight="1">
      <c r="C1085" s="2"/>
      <c r="E1085" s="2"/>
      <c r="G1085" s="2"/>
      <c r="R1085" s="3"/>
      <c r="S1085" s="2"/>
      <c r="U1085" s="2"/>
      <c r="BA1085" s="4"/>
    </row>
    <row r="1086" ht="15.75" customHeight="1">
      <c r="C1086" s="2"/>
      <c r="E1086" s="2"/>
      <c r="G1086" s="2"/>
      <c r="R1086" s="3"/>
      <c r="S1086" s="2"/>
      <c r="U1086" s="2"/>
      <c r="BA1086" s="4"/>
    </row>
    <row r="1087" ht="15.75" customHeight="1">
      <c r="C1087" s="2"/>
      <c r="E1087" s="2"/>
      <c r="G1087" s="2"/>
      <c r="R1087" s="3"/>
      <c r="S1087" s="2"/>
      <c r="U1087" s="2"/>
      <c r="BA1087" s="4"/>
    </row>
    <row r="1088" ht="15.75" customHeight="1">
      <c r="C1088" s="2"/>
      <c r="E1088" s="2"/>
      <c r="G1088" s="2"/>
      <c r="R1088" s="3"/>
      <c r="S1088" s="2"/>
      <c r="U1088" s="2"/>
      <c r="BA1088" s="4"/>
    </row>
    <row r="1089" ht="15.75" customHeight="1">
      <c r="C1089" s="2"/>
      <c r="E1089" s="2"/>
      <c r="G1089" s="2"/>
      <c r="R1089" s="3"/>
      <c r="S1089" s="2"/>
      <c r="U1089" s="2"/>
      <c r="BA1089" s="4"/>
    </row>
    <row r="1090" ht="15.75" customHeight="1">
      <c r="C1090" s="2"/>
      <c r="E1090" s="2"/>
      <c r="G1090" s="2"/>
      <c r="R1090" s="3"/>
      <c r="S1090" s="2"/>
      <c r="U1090" s="2"/>
      <c r="BA1090" s="4"/>
    </row>
    <row r="1091" ht="15.75" customHeight="1">
      <c r="C1091" s="2"/>
      <c r="E1091" s="2"/>
      <c r="G1091" s="2"/>
      <c r="R1091" s="3"/>
      <c r="S1091" s="2"/>
      <c r="U1091" s="2"/>
      <c r="BA1091" s="4"/>
    </row>
  </sheetData>
  <mergeCells count="104">
    <mergeCell ref="R4:S4"/>
    <mergeCell ref="T4:U4"/>
    <mergeCell ref="V4:W4"/>
    <mergeCell ref="X4:Y4"/>
    <mergeCell ref="Z4:AA4"/>
    <mergeCell ref="AB4:AC4"/>
    <mergeCell ref="AD4:AE4"/>
    <mergeCell ref="D4:E4"/>
    <mergeCell ref="F4:G4"/>
    <mergeCell ref="H4:I4"/>
    <mergeCell ref="J4:K4"/>
    <mergeCell ref="L4:M4"/>
    <mergeCell ref="N4:O4"/>
    <mergeCell ref="P4:Q4"/>
    <mergeCell ref="AF5:AG5"/>
    <mergeCell ref="AH5:AI5"/>
    <mergeCell ref="R5:S5"/>
    <mergeCell ref="T5:U5"/>
    <mergeCell ref="V5:W5"/>
    <mergeCell ref="X5:Y5"/>
    <mergeCell ref="Z5:AA5"/>
    <mergeCell ref="AB5:AC5"/>
    <mergeCell ref="AD5:AE5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T6:AU6"/>
    <mergeCell ref="AV6:AW6"/>
    <mergeCell ref="AX6:AY6"/>
    <mergeCell ref="AZ6:BA6"/>
    <mergeCell ref="BB6:BC6"/>
    <mergeCell ref="AF6:AG6"/>
    <mergeCell ref="AH6:AI6"/>
    <mergeCell ref="AJ6:AK6"/>
    <mergeCell ref="AL6:AM6"/>
    <mergeCell ref="AN6:AO6"/>
    <mergeCell ref="AP6:AQ6"/>
    <mergeCell ref="AR6:AS6"/>
    <mergeCell ref="AX5:AY5"/>
    <mergeCell ref="AZ5:BA5"/>
    <mergeCell ref="AJ5:AK5"/>
    <mergeCell ref="AL5:AM5"/>
    <mergeCell ref="AN5:AO5"/>
    <mergeCell ref="AP5:AQ5"/>
    <mergeCell ref="AR5:AS5"/>
    <mergeCell ref="AT5:AU5"/>
    <mergeCell ref="AV5:AW5"/>
    <mergeCell ref="R3:S3"/>
    <mergeCell ref="T3:U3"/>
    <mergeCell ref="V3:W3"/>
    <mergeCell ref="X3:Y3"/>
    <mergeCell ref="Z3:AA3"/>
    <mergeCell ref="AB3:AC3"/>
    <mergeCell ref="AD3:AE3"/>
    <mergeCell ref="AT3:AU3"/>
    <mergeCell ref="AV3:AW3"/>
    <mergeCell ref="AX3:AY3"/>
    <mergeCell ref="AZ3:BA3"/>
    <mergeCell ref="BB3:BC3"/>
    <mergeCell ref="AF3:AG3"/>
    <mergeCell ref="AH3:AI3"/>
    <mergeCell ref="AJ3:AK3"/>
    <mergeCell ref="AL3:AM3"/>
    <mergeCell ref="AN3:AO3"/>
    <mergeCell ref="AP3:AQ3"/>
    <mergeCell ref="AR3:AS3"/>
    <mergeCell ref="D3:E3"/>
    <mergeCell ref="F3:G3"/>
    <mergeCell ref="H3:I3"/>
    <mergeCell ref="J3:K3"/>
    <mergeCell ref="L3:M3"/>
    <mergeCell ref="N3:O3"/>
    <mergeCell ref="P3:Q3"/>
    <mergeCell ref="AT4:AU4"/>
    <mergeCell ref="AV4:AW4"/>
    <mergeCell ref="AX4:AY4"/>
    <mergeCell ref="AZ4:BA4"/>
    <mergeCell ref="BB4:BC4"/>
    <mergeCell ref="BB5:BC5"/>
    <mergeCell ref="D5:E5"/>
    <mergeCell ref="F5:G5"/>
    <mergeCell ref="H5:I5"/>
    <mergeCell ref="J5:K5"/>
    <mergeCell ref="L5:M5"/>
    <mergeCell ref="N5:O5"/>
    <mergeCell ref="P5:Q5"/>
    <mergeCell ref="AF4:AG4"/>
    <mergeCell ref="AH4:AI4"/>
    <mergeCell ref="AJ4:AK4"/>
    <mergeCell ref="AL4:AM4"/>
    <mergeCell ref="AN4:AO4"/>
    <mergeCell ref="AP4:AQ4"/>
    <mergeCell ref="AR4:AS4"/>
  </mergeCells>
  <conditionalFormatting sqref="BA1:BA3 BA7:BA79 BA116 BA118:BA121 BA123:BA1091">
    <cfRule type="notContainsBlanks" dxfId="0" priority="1">
      <formula>LEN(TRIM(BA1))&gt;0</formula>
    </cfRule>
  </conditionalFormatting>
  <printOptions/>
  <pageMargins bottom="0.75" footer="0.0" header="0.0" left="0.7" right="0.7" top="0.75"/>
  <pageSetup paperSize="8" orientation="portrait"/>
  <drawing r:id="rId1"/>
  <tableParts count="4">
    <tablePart r:id="rId6"/>
    <tablePart r:id="rId7"/>
    <tablePart r:id="rId8"/>
    <tablePart r:id="rId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9.43"/>
    <col customWidth="1" min="2" max="2" width="56.0"/>
    <col customWidth="1" min="3" max="10" width="21.29"/>
    <col customWidth="1" min="11" max="11" width="10.86"/>
    <col customWidth="1" min="12" max="12" width="8.71"/>
    <col customWidth="1" min="13" max="13" width="11.14"/>
    <col customWidth="1" min="14" max="14" width="12.43"/>
    <col customWidth="1" min="15" max="15" width="22.29"/>
    <col customWidth="1" min="16" max="16" width="8.71"/>
    <col customWidth="1" min="17" max="17" width="12.29"/>
    <col customWidth="1" min="18" max="27" width="8.71"/>
  </cols>
  <sheetData>
    <row r="1">
      <c r="A1" s="82"/>
      <c r="B1" s="82" t="s">
        <v>172</v>
      </c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4"/>
      <c r="O1" s="84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  <c r="AA1" s="83"/>
    </row>
    <row r="2">
      <c r="A2" s="83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4"/>
      <c r="O2" s="84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</row>
    <row r="3" ht="13.5" customHeight="1">
      <c r="A3" s="83"/>
      <c r="B3" s="83"/>
      <c r="C3" s="83"/>
      <c r="D3" s="85" t="s">
        <v>173</v>
      </c>
      <c r="E3" s="11"/>
      <c r="F3" s="85" t="s">
        <v>174</v>
      </c>
      <c r="G3" s="11"/>
      <c r="H3" s="85" t="s">
        <v>175</v>
      </c>
      <c r="I3" s="11"/>
      <c r="J3" s="85" t="s">
        <v>176</v>
      </c>
      <c r="K3" s="11"/>
      <c r="L3" s="85" t="s">
        <v>177</v>
      </c>
      <c r="M3" s="11"/>
      <c r="N3" s="86" t="s">
        <v>178</v>
      </c>
      <c r="O3" s="11"/>
      <c r="P3" s="87" t="s">
        <v>179</v>
      </c>
      <c r="Q3" s="11"/>
      <c r="R3" s="83"/>
      <c r="S3" s="83"/>
      <c r="T3" s="83"/>
      <c r="U3" s="83"/>
      <c r="V3" s="83"/>
      <c r="W3" s="83"/>
      <c r="X3" s="83"/>
      <c r="Y3" s="83"/>
      <c r="Z3" s="83"/>
      <c r="AA3" s="83"/>
    </row>
    <row r="4">
      <c r="A4" s="88"/>
      <c r="B4" s="89" t="s">
        <v>27</v>
      </c>
      <c r="C4" s="90"/>
      <c r="D4" s="5"/>
      <c r="E4" s="11"/>
      <c r="F4" s="20" t="s">
        <v>180</v>
      </c>
      <c r="G4" s="11"/>
      <c r="H4" s="5"/>
      <c r="I4" s="11"/>
      <c r="J4" s="5"/>
      <c r="K4" s="11"/>
      <c r="L4" s="5"/>
      <c r="M4" s="11"/>
      <c r="N4" s="91"/>
      <c r="O4" s="11"/>
      <c r="P4" s="20" t="s">
        <v>29</v>
      </c>
      <c r="Q4" s="11"/>
      <c r="R4" s="92"/>
      <c r="S4" s="92"/>
      <c r="T4" s="92"/>
      <c r="U4" s="92"/>
      <c r="V4" s="92"/>
      <c r="W4" s="92"/>
      <c r="X4" s="92"/>
      <c r="Y4" s="92"/>
      <c r="Z4" s="92"/>
      <c r="AA4" s="92"/>
    </row>
    <row r="5">
      <c r="A5" s="88"/>
      <c r="B5" s="89" t="s">
        <v>181</v>
      </c>
      <c r="C5" s="90"/>
      <c r="D5" s="5"/>
      <c r="E5" s="11"/>
      <c r="F5" s="20" t="s">
        <v>182</v>
      </c>
      <c r="G5" s="11"/>
      <c r="H5" s="5"/>
      <c r="I5" s="11"/>
      <c r="J5" s="5"/>
      <c r="K5" s="11"/>
      <c r="L5" s="5"/>
      <c r="M5" s="11"/>
      <c r="N5" s="91"/>
      <c r="O5" s="11"/>
      <c r="P5" s="20" t="s">
        <v>38</v>
      </c>
      <c r="Q5" s="11"/>
      <c r="R5" s="92"/>
      <c r="S5" s="92"/>
      <c r="T5" s="92"/>
      <c r="U5" s="92"/>
      <c r="V5" s="92"/>
      <c r="W5" s="92"/>
      <c r="X5" s="92"/>
      <c r="Y5" s="92"/>
      <c r="Z5" s="92"/>
      <c r="AA5" s="92"/>
    </row>
    <row r="6">
      <c r="A6" s="88"/>
      <c r="B6" s="89" t="s">
        <v>39</v>
      </c>
      <c r="C6" s="90"/>
      <c r="D6" s="5"/>
      <c r="E6" s="11"/>
      <c r="F6" s="5"/>
      <c r="G6" s="11"/>
      <c r="H6" s="5"/>
      <c r="I6" s="11"/>
      <c r="J6" s="5"/>
      <c r="K6" s="11"/>
      <c r="L6" s="5"/>
      <c r="M6" s="11"/>
      <c r="N6" s="91"/>
      <c r="O6" s="11"/>
      <c r="P6" s="5"/>
      <c r="Q6" s="11"/>
      <c r="R6" s="92"/>
      <c r="S6" s="92"/>
      <c r="T6" s="92"/>
      <c r="U6" s="92"/>
      <c r="V6" s="92"/>
      <c r="W6" s="92"/>
      <c r="X6" s="92"/>
      <c r="Y6" s="92"/>
      <c r="Z6" s="92"/>
      <c r="AA6" s="92"/>
    </row>
    <row r="7">
      <c r="A7" s="82"/>
      <c r="B7" s="82" t="s">
        <v>40</v>
      </c>
      <c r="C7" s="93" t="s">
        <v>183</v>
      </c>
      <c r="D7" s="94" t="s">
        <v>42</v>
      </c>
      <c r="E7" s="94" t="s">
        <v>43</v>
      </c>
      <c r="F7" s="94" t="s">
        <v>42</v>
      </c>
      <c r="G7" s="94" t="s">
        <v>43</v>
      </c>
      <c r="H7" s="94" t="s">
        <v>42</v>
      </c>
      <c r="I7" s="94" t="s">
        <v>43</v>
      </c>
      <c r="J7" s="94" t="s">
        <v>42</v>
      </c>
      <c r="K7" s="94" t="s">
        <v>43</v>
      </c>
      <c r="L7" s="94" t="s">
        <v>42</v>
      </c>
      <c r="M7" s="94" t="s">
        <v>43</v>
      </c>
      <c r="N7" s="95" t="s">
        <v>42</v>
      </c>
      <c r="O7" s="95" t="s">
        <v>43</v>
      </c>
      <c r="P7" s="94" t="s">
        <v>42</v>
      </c>
      <c r="Q7" s="94" t="s">
        <v>43</v>
      </c>
      <c r="R7" s="83"/>
      <c r="S7" s="83"/>
      <c r="T7" s="83"/>
      <c r="U7" s="83"/>
      <c r="V7" s="83"/>
      <c r="W7" s="83"/>
      <c r="X7" s="83"/>
      <c r="Y7" s="83"/>
      <c r="Z7" s="83"/>
      <c r="AA7" s="83"/>
    </row>
    <row r="8">
      <c r="A8" s="96" t="s">
        <v>184</v>
      </c>
      <c r="B8" s="97" t="s">
        <v>185</v>
      </c>
      <c r="C8" s="98">
        <f>1412.4*1.22</f>
        <v>1723.128</v>
      </c>
      <c r="D8" s="97">
        <v>36.0</v>
      </c>
      <c r="E8" s="98">
        <f t="shared" ref="E8:E32" si="1">$C8*D8</f>
        <v>62032.608</v>
      </c>
      <c r="F8" s="97">
        <v>20.0</v>
      </c>
      <c r="G8" s="98">
        <f t="shared" ref="G8:G64" si="2">$C8*F8</f>
        <v>34462.56</v>
      </c>
      <c r="H8" s="99"/>
      <c r="I8" s="98">
        <f t="shared" ref="I8:I9" si="3">$C8*H8</f>
        <v>0</v>
      </c>
      <c r="J8" s="97">
        <v>8.0</v>
      </c>
      <c r="K8" s="98">
        <f t="shared" ref="K8:K48" si="4">$C8*J8</f>
        <v>13785.024</v>
      </c>
      <c r="L8" s="97">
        <v>5.0</v>
      </c>
      <c r="M8" s="98">
        <f t="shared" ref="M8:M48" si="5">$C8*L8</f>
        <v>8615.64</v>
      </c>
      <c r="N8" s="100">
        <v>40.0</v>
      </c>
      <c r="O8" s="101">
        <f t="shared" ref="O8:O9" si="6">$C8*N8</f>
        <v>68925.12</v>
      </c>
      <c r="P8" s="71">
        <v>20.0</v>
      </c>
      <c r="Q8" s="102">
        <f t="shared" ref="Q8:Q65" si="7">C8*P8</f>
        <v>34462.56</v>
      </c>
      <c r="R8" s="83"/>
      <c r="S8" s="83"/>
      <c r="T8" s="83"/>
      <c r="U8" s="83"/>
      <c r="V8" s="83"/>
      <c r="W8" s="83"/>
      <c r="X8" s="83"/>
      <c r="Y8" s="83"/>
      <c r="Z8" s="83"/>
      <c r="AA8" s="83"/>
    </row>
    <row r="9">
      <c r="B9" s="103" t="s">
        <v>186</v>
      </c>
      <c r="C9" s="104">
        <f>185.85*1.108*1.22</f>
        <v>251.224596</v>
      </c>
      <c r="D9" s="71"/>
      <c r="E9" s="102">
        <f t="shared" si="1"/>
        <v>0</v>
      </c>
      <c r="F9" s="83"/>
      <c r="G9" s="102">
        <f t="shared" si="2"/>
        <v>0</v>
      </c>
      <c r="H9" s="83"/>
      <c r="I9" s="102">
        <f t="shared" si="3"/>
        <v>0</v>
      </c>
      <c r="J9" s="71">
        <v>16.0</v>
      </c>
      <c r="K9" s="102">
        <f t="shared" si="4"/>
        <v>4019.593536</v>
      </c>
      <c r="L9" s="71">
        <v>1.0</v>
      </c>
      <c r="M9" s="102">
        <f t="shared" si="5"/>
        <v>251.224596</v>
      </c>
      <c r="N9" s="84"/>
      <c r="O9" s="105">
        <f t="shared" si="6"/>
        <v>0</v>
      </c>
      <c r="P9" s="106"/>
      <c r="Q9" s="102">
        <f t="shared" si="7"/>
        <v>0</v>
      </c>
      <c r="R9" s="106"/>
      <c r="S9" s="106"/>
      <c r="T9" s="106"/>
      <c r="U9" s="106"/>
      <c r="V9" s="106"/>
      <c r="W9" s="106"/>
      <c r="X9" s="106"/>
      <c r="Y9" s="106"/>
      <c r="Z9" s="106"/>
      <c r="AA9" s="106"/>
    </row>
    <row r="10">
      <c r="B10" s="103" t="s">
        <v>187</v>
      </c>
      <c r="C10" s="104">
        <f>292.95*1.108*1.22</f>
        <v>395.998092</v>
      </c>
      <c r="D10" s="71">
        <v>18.0</v>
      </c>
      <c r="E10" s="102">
        <f t="shared" si="1"/>
        <v>7127.965656</v>
      </c>
      <c r="F10" s="71">
        <v>2.0</v>
      </c>
      <c r="G10" s="102">
        <f t="shared" si="2"/>
        <v>791.996184</v>
      </c>
      <c r="H10" s="83"/>
      <c r="I10" s="83"/>
      <c r="J10" s="71">
        <v>5.0</v>
      </c>
      <c r="K10" s="102">
        <f t="shared" si="4"/>
        <v>1979.99046</v>
      </c>
      <c r="L10" s="71">
        <v>2.0</v>
      </c>
      <c r="M10" s="102">
        <f t="shared" si="5"/>
        <v>791.996184</v>
      </c>
      <c r="N10" s="84"/>
      <c r="O10" s="84"/>
      <c r="P10" s="103">
        <v>6.0</v>
      </c>
      <c r="Q10" s="102">
        <f t="shared" si="7"/>
        <v>2375.988552</v>
      </c>
      <c r="R10" s="106"/>
      <c r="S10" s="106"/>
      <c r="T10" s="106"/>
      <c r="U10" s="106"/>
      <c r="V10" s="106"/>
      <c r="W10" s="106"/>
      <c r="X10" s="106"/>
      <c r="Y10" s="106"/>
      <c r="Z10" s="106"/>
      <c r="AA10" s="106"/>
    </row>
    <row r="11">
      <c r="B11" s="103" t="s">
        <v>188</v>
      </c>
      <c r="C11" s="104">
        <f>455.85*1.108*1.22</f>
        <v>616.199796</v>
      </c>
      <c r="D11" s="83"/>
      <c r="E11" s="102">
        <f t="shared" si="1"/>
        <v>0</v>
      </c>
      <c r="F11" s="71">
        <v>9.0</v>
      </c>
      <c r="G11" s="102">
        <f t="shared" si="2"/>
        <v>5545.798164</v>
      </c>
      <c r="H11" s="83"/>
      <c r="I11" s="83"/>
      <c r="J11" s="83"/>
      <c r="K11" s="102">
        <f t="shared" si="4"/>
        <v>0</v>
      </c>
      <c r="L11" s="83"/>
      <c r="M11" s="102">
        <f t="shared" si="5"/>
        <v>0</v>
      </c>
      <c r="N11" s="84"/>
      <c r="O11" s="84"/>
      <c r="P11" s="103">
        <v>5.0</v>
      </c>
      <c r="Q11" s="102">
        <f t="shared" si="7"/>
        <v>3080.99898</v>
      </c>
      <c r="R11" s="106"/>
      <c r="S11" s="106"/>
      <c r="T11" s="106"/>
      <c r="U11" s="106"/>
      <c r="V11" s="106"/>
      <c r="W11" s="106"/>
      <c r="X11" s="106"/>
      <c r="Y11" s="106"/>
      <c r="Z11" s="106"/>
      <c r="AA11" s="106"/>
    </row>
    <row r="12" ht="15.75" customHeight="1">
      <c r="B12" s="71" t="s">
        <v>189</v>
      </c>
      <c r="C12" s="102">
        <f>190.35*1.108*1.22</f>
        <v>257.307516</v>
      </c>
      <c r="D12" s="71">
        <v>36.0</v>
      </c>
      <c r="E12" s="102">
        <f t="shared" si="1"/>
        <v>9263.070576</v>
      </c>
      <c r="F12" s="71">
        <v>20.0</v>
      </c>
      <c r="G12" s="102">
        <f t="shared" si="2"/>
        <v>5146.15032</v>
      </c>
      <c r="H12" s="83"/>
      <c r="I12" s="102">
        <f>$C12*H12</f>
        <v>0</v>
      </c>
      <c r="J12" s="71">
        <v>21.0</v>
      </c>
      <c r="K12" s="102">
        <f t="shared" si="4"/>
        <v>5403.457836</v>
      </c>
      <c r="L12" s="71">
        <v>5.0</v>
      </c>
      <c r="M12" s="102">
        <f t="shared" si="5"/>
        <v>1286.53758</v>
      </c>
      <c r="N12" s="84"/>
      <c r="O12" s="105">
        <f>$C12*N12</f>
        <v>0</v>
      </c>
      <c r="P12" s="71">
        <v>20.0</v>
      </c>
      <c r="Q12" s="102">
        <f t="shared" si="7"/>
        <v>5146.15032</v>
      </c>
      <c r="R12" s="83"/>
      <c r="S12" s="83"/>
      <c r="T12" s="83"/>
      <c r="U12" s="83"/>
      <c r="V12" s="83"/>
      <c r="W12" s="83"/>
      <c r="X12" s="83"/>
      <c r="Y12" s="83"/>
      <c r="Z12" s="83"/>
      <c r="AA12" s="83"/>
    </row>
    <row r="13">
      <c r="B13" s="71" t="s">
        <v>190</v>
      </c>
      <c r="C13" s="102">
        <f>7.65*1.108*1.22</f>
        <v>10.340964</v>
      </c>
      <c r="D13" s="71">
        <v>36.0</v>
      </c>
      <c r="E13" s="102">
        <f t="shared" si="1"/>
        <v>372.274704</v>
      </c>
      <c r="F13" s="71">
        <v>20.0</v>
      </c>
      <c r="G13" s="102">
        <f t="shared" si="2"/>
        <v>206.81928</v>
      </c>
      <c r="H13" s="83"/>
      <c r="I13" s="83"/>
      <c r="J13" s="71">
        <v>21.0</v>
      </c>
      <c r="K13" s="102">
        <f t="shared" si="4"/>
        <v>217.160244</v>
      </c>
      <c r="L13" s="71">
        <v>5.0</v>
      </c>
      <c r="M13" s="102">
        <f t="shared" si="5"/>
        <v>51.70482</v>
      </c>
      <c r="N13" s="84"/>
      <c r="O13" s="84"/>
      <c r="P13" s="71">
        <v>20.0</v>
      </c>
      <c r="Q13" s="102">
        <f t="shared" si="7"/>
        <v>206.81928</v>
      </c>
      <c r="R13" s="83"/>
      <c r="S13" s="83"/>
      <c r="T13" s="83"/>
      <c r="U13" s="83"/>
      <c r="V13" s="83"/>
      <c r="W13" s="83"/>
      <c r="X13" s="83"/>
      <c r="Y13" s="83"/>
      <c r="Z13" s="83"/>
      <c r="AA13" s="83"/>
    </row>
    <row r="14">
      <c r="B14" s="71" t="s">
        <v>191</v>
      </c>
      <c r="C14" s="102">
        <f>148.05*1.108*1.22</f>
        <v>200.128068</v>
      </c>
      <c r="D14" s="71">
        <v>36.0</v>
      </c>
      <c r="E14" s="102">
        <f t="shared" si="1"/>
        <v>7204.610448</v>
      </c>
      <c r="F14" s="71">
        <v>20.0</v>
      </c>
      <c r="G14" s="102">
        <f t="shared" si="2"/>
        <v>4002.56136</v>
      </c>
      <c r="H14" s="83"/>
      <c r="I14" s="83"/>
      <c r="J14" s="71">
        <v>21.0</v>
      </c>
      <c r="K14" s="102">
        <f t="shared" si="4"/>
        <v>4202.689428</v>
      </c>
      <c r="L14" s="71">
        <v>5.0</v>
      </c>
      <c r="M14" s="102">
        <f t="shared" si="5"/>
        <v>1000.64034</v>
      </c>
      <c r="N14" s="84"/>
      <c r="O14" s="84"/>
      <c r="P14" s="71">
        <v>20.0</v>
      </c>
      <c r="Q14" s="102">
        <f t="shared" si="7"/>
        <v>4002.56136</v>
      </c>
      <c r="R14" s="83"/>
      <c r="S14" s="83"/>
      <c r="T14" s="83"/>
      <c r="U14" s="83"/>
      <c r="V14" s="83"/>
      <c r="W14" s="83"/>
      <c r="X14" s="83"/>
      <c r="Y14" s="83"/>
      <c r="Z14" s="83"/>
      <c r="AA14" s="83"/>
    </row>
    <row r="15">
      <c r="B15" s="71" t="s">
        <v>192</v>
      </c>
      <c r="C15" s="102">
        <f>167.4*1.108*1.22</f>
        <v>226.284624</v>
      </c>
      <c r="D15" s="83"/>
      <c r="E15" s="102">
        <f t="shared" si="1"/>
        <v>0</v>
      </c>
      <c r="F15" s="71">
        <v>11.0</v>
      </c>
      <c r="G15" s="102">
        <f t="shared" si="2"/>
        <v>2489.130864</v>
      </c>
      <c r="H15" s="83"/>
      <c r="I15" s="83"/>
      <c r="J15" s="83"/>
      <c r="K15" s="102">
        <f t="shared" si="4"/>
        <v>0</v>
      </c>
      <c r="L15" s="83"/>
      <c r="M15" s="102">
        <f t="shared" si="5"/>
        <v>0</v>
      </c>
      <c r="N15" s="84"/>
      <c r="O15" s="84"/>
      <c r="P15" s="71">
        <v>11.0</v>
      </c>
      <c r="Q15" s="102">
        <f t="shared" si="7"/>
        <v>2489.130864</v>
      </c>
      <c r="R15" s="83"/>
      <c r="S15" s="83"/>
      <c r="T15" s="83"/>
      <c r="U15" s="83"/>
      <c r="V15" s="83"/>
      <c r="W15" s="83"/>
      <c r="X15" s="83"/>
      <c r="Y15" s="83"/>
      <c r="Z15" s="83"/>
      <c r="AA15" s="83"/>
    </row>
    <row r="16">
      <c r="B16" s="71" t="s">
        <v>193</v>
      </c>
      <c r="C16" s="102">
        <f>109.35*1.108*1.22</f>
        <v>147.814956</v>
      </c>
      <c r="D16" s="83"/>
      <c r="E16" s="102">
        <f t="shared" si="1"/>
        <v>0</v>
      </c>
      <c r="F16" s="71"/>
      <c r="G16" s="102">
        <f t="shared" si="2"/>
        <v>0</v>
      </c>
      <c r="H16" s="83"/>
      <c r="I16" s="83"/>
      <c r="J16" s="71">
        <v>14.0</v>
      </c>
      <c r="K16" s="102">
        <f t="shared" si="4"/>
        <v>2069.409384</v>
      </c>
      <c r="L16" s="71">
        <v>1.0</v>
      </c>
      <c r="M16" s="102">
        <f t="shared" si="5"/>
        <v>147.814956</v>
      </c>
      <c r="N16" s="84"/>
      <c r="O16" s="84"/>
      <c r="P16" s="83"/>
      <c r="Q16" s="102">
        <f t="shared" si="7"/>
        <v>0</v>
      </c>
      <c r="R16" s="83"/>
      <c r="S16" s="83"/>
      <c r="T16" s="83"/>
      <c r="U16" s="83"/>
      <c r="V16" s="83"/>
      <c r="W16" s="83"/>
      <c r="X16" s="83"/>
      <c r="Y16" s="83"/>
      <c r="Z16" s="83"/>
      <c r="AA16" s="83"/>
    </row>
    <row r="17">
      <c r="B17" s="71" t="s">
        <v>194</v>
      </c>
      <c r="C17" s="102">
        <f>57.6*1.108*1.22</f>
        <v>77.861376</v>
      </c>
      <c r="D17" s="71"/>
      <c r="E17" s="102">
        <f t="shared" si="1"/>
        <v>0</v>
      </c>
      <c r="F17" s="71">
        <v>11.0</v>
      </c>
      <c r="G17" s="102">
        <f t="shared" si="2"/>
        <v>856.475136</v>
      </c>
      <c r="H17" s="83"/>
      <c r="I17" s="83"/>
      <c r="J17" s="71">
        <v>26.0</v>
      </c>
      <c r="K17" s="102">
        <f t="shared" si="4"/>
        <v>2024.395776</v>
      </c>
      <c r="L17" s="71">
        <v>5.0</v>
      </c>
      <c r="M17" s="102">
        <f t="shared" si="5"/>
        <v>389.30688</v>
      </c>
      <c r="N17" s="84"/>
      <c r="O17" s="84"/>
      <c r="P17" s="71">
        <v>11.0</v>
      </c>
      <c r="Q17" s="102">
        <f t="shared" si="7"/>
        <v>856.475136</v>
      </c>
      <c r="R17" s="83"/>
      <c r="S17" s="83"/>
      <c r="T17" s="83"/>
      <c r="U17" s="83"/>
      <c r="V17" s="83"/>
      <c r="W17" s="83"/>
      <c r="X17" s="83"/>
      <c r="Y17" s="83"/>
      <c r="Z17" s="83"/>
      <c r="AA17" s="83"/>
    </row>
    <row r="18">
      <c r="A18" s="107"/>
      <c r="B18" s="108" t="s">
        <v>195</v>
      </c>
      <c r="C18" s="109">
        <f>765.57*1.22</f>
        <v>933.9954</v>
      </c>
      <c r="D18" s="110"/>
      <c r="E18" s="111">
        <f t="shared" si="1"/>
        <v>0</v>
      </c>
      <c r="F18" s="112">
        <v>11.0</v>
      </c>
      <c r="G18" s="111">
        <f t="shared" si="2"/>
        <v>10273.9494</v>
      </c>
      <c r="H18" s="110"/>
      <c r="I18" s="110"/>
      <c r="J18" s="112">
        <v>19.0</v>
      </c>
      <c r="K18" s="102">
        <f t="shared" si="4"/>
        <v>17745.9126</v>
      </c>
      <c r="L18" s="112">
        <v>3.0</v>
      </c>
      <c r="M18" s="102">
        <f t="shared" si="5"/>
        <v>2801.9862</v>
      </c>
      <c r="N18" s="113"/>
      <c r="O18" s="113"/>
      <c r="P18" s="112">
        <v>11.0</v>
      </c>
      <c r="Q18" s="111">
        <f t="shared" si="7"/>
        <v>10273.9494</v>
      </c>
      <c r="R18" s="83"/>
      <c r="S18" s="83"/>
      <c r="T18" s="83"/>
      <c r="U18" s="83"/>
      <c r="V18" s="83"/>
      <c r="W18" s="83"/>
      <c r="X18" s="83"/>
      <c r="Y18" s="83"/>
      <c r="Z18" s="83"/>
      <c r="AA18" s="83"/>
    </row>
    <row r="19">
      <c r="A19" s="114" t="s">
        <v>196</v>
      </c>
      <c r="B19" s="115" t="s">
        <v>197</v>
      </c>
      <c r="C19" s="50">
        <f>214.08*1.22</f>
        <v>261.1776</v>
      </c>
      <c r="D19" s="83"/>
      <c r="E19" s="102">
        <f t="shared" si="1"/>
        <v>0</v>
      </c>
      <c r="F19" s="83"/>
      <c r="G19" s="102">
        <f t="shared" si="2"/>
        <v>0</v>
      </c>
      <c r="H19" s="83"/>
      <c r="I19" s="83"/>
      <c r="J19" s="71">
        <v>3.0</v>
      </c>
      <c r="K19" s="98">
        <f t="shared" si="4"/>
        <v>783.5328</v>
      </c>
      <c r="L19" s="71">
        <v>1.0</v>
      </c>
      <c r="M19" s="98">
        <f t="shared" si="5"/>
        <v>261.1776</v>
      </c>
      <c r="N19" s="84"/>
      <c r="O19" s="84"/>
      <c r="P19" s="71">
        <v>3.0</v>
      </c>
      <c r="Q19" s="102">
        <f t="shared" si="7"/>
        <v>783.5328</v>
      </c>
      <c r="R19" s="83"/>
      <c r="S19" s="83"/>
      <c r="T19" s="83"/>
      <c r="U19" s="83"/>
      <c r="V19" s="83"/>
      <c r="W19" s="83"/>
      <c r="X19" s="83"/>
      <c r="Y19" s="83"/>
      <c r="Z19" s="83"/>
      <c r="AA19" s="83"/>
    </row>
    <row r="20">
      <c r="B20" s="115" t="s">
        <v>198</v>
      </c>
      <c r="C20" s="50">
        <f>224.12*1.22</f>
        <v>273.4264</v>
      </c>
      <c r="D20" s="71">
        <v>3.0</v>
      </c>
      <c r="E20" s="102">
        <f t="shared" si="1"/>
        <v>820.2792</v>
      </c>
      <c r="F20" s="71">
        <v>6.0</v>
      </c>
      <c r="G20" s="102">
        <f t="shared" si="2"/>
        <v>1640.5584</v>
      </c>
      <c r="H20" s="83"/>
      <c r="I20" s="102">
        <f>$C20*H20</f>
        <v>0</v>
      </c>
      <c r="J20" s="71">
        <v>2.0</v>
      </c>
      <c r="K20" s="102">
        <f t="shared" si="4"/>
        <v>546.8528</v>
      </c>
      <c r="L20" s="71"/>
      <c r="M20" s="102">
        <f t="shared" si="5"/>
        <v>0</v>
      </c>
      <c r="N20" s="84"/>
      <c r="O20" s="105">
        <f>$C20*N20</f>
        <v>0</v>
      </c>
      <c r="P20" s="71">
        <v>3.0</v>
      </c>
      <c r="Q20" s="102">
        <f t="shared" si="7"/>
        <v>820.2792</v>
      </c>
      <c r="R20" s="83"/>
      <c r="S20" s="83"/>
      <c r="T20" s="83"/>
      <c r="U20" s="83"/>
      <c r="V20" s="83"/>
      <c r="W20" s="83"/>
      <c r="X20" s="83"/>
      <c r="Y20" s="83"/>
      <c r="Z20" s="83"/>
      <c r="AA20" s="83"/>
    </row>
    <row r="21">
      <c r="B21" s="115" t="s">
        <v>199</v>
      </c>
      <c r="C21" s="50">
        <f>233.59*1.22</f>
        <v>284.9798</v>
      </c>
      <c r="D21" s="83"/>
      <c r="E21" s="102">
        <f t="shared" si="1"/>
        <v>0</v>
      </c>
      <c r="F21" s="71"/>
      <c r="G21" s="102">
        <f t="shared" si="2"/>
        <v>0</v>
      </c>
      <c r="H21" s="83"/>
      <c r="I21" s="102"/>
      <c r="J21" s="71">
        <v>2.0</v>
      </c>
      <c r="K21" s="102">
        <f t="shared" si="4"/>
        <v>569.9596</v>
      </c>
      <c r="L21" s="71">
        <v>1.0</v>
      </c>
      <c r="M21" s="102">
        <f t="shared" si="5"/>
        <v>284.9798</v>
      </c>
      <c r="N21" s="84"/>
      <c r="O21" s="105"/>
      <c r="P21" s="83"/>
      <c r="Q21" s="102">
        <f t="shared" si="7"/>
        <v>0</v>
      </c>
      <c r="R21" s="83"/>
      <c r="S21" s="83"/>
      <c r="T21" s="83"/>
      <c r="U21" s="83"/>
      <c r="V21" s="83"/>
      <c r="W21" s="83"/>
      <c r="X21" s="83"/>
      <c r="Y21" s="83"/>
      <c r="Z21" s="83"/>
      <c r="AA21" s="83"/>
    </row>
    <row r="22">
      <c r="B22" s="115" t="s">
        <v>200</v>
      </c>
      <c r="C22" s="50">
        <f>39.03*1.22</f>
        <v>47.6166</v>
      </c>
      <c r="D22" s="83"/>
      <c r="E22" s="102">
        <f t="shared" si="1"/>
        <v>0</v>
      </c>
      <c r="F22" s="71">
        <v>6.0</v>
      </c>
      <c r="G22" s="102">
        <f t="shared" si="2"/>
        <v>285.6996</v>
      </c>
      <c r="H22" s="83"/>
      <c r="I22" s="83"/>
      <c r="J22" s="71">
        <v>4.0</v>
      </c>
      <c r="K22" s="102">
        <f t="shared" si="4"/>
        <v>190.4664</v>
      </c>
      <c r="L22" s="71">
        <v>2.0</v>
      </c>
      <c r="M22" s="102">
        <f t="shared" si="5"/>
        <v>95.2332</v>
      </c>
      <c r="N22" s="84"/>
      <c r="O22" s="84"/>
      <c r="P22" s="71">
        <v>0.0</v>
      </c>
      <c r="Q22" s="102">
        <f t="shared" si="7"/>
        <v>0</v>
      </c>
      <c r="R22" s="83"/>
      <c r="S22" s="83"/>
      <c r="T22" s="83"/>
      <c r="U22" s="83"/>
      <c r="V22" s="83"/>
      <c r="W22" s="83"/>
      <c r="X22" s="83"/>
      <c r="Y22" s="83"/>
      <c r="Z22" s="83"/>
      <c r="AA22" s="83"/>
    </row>
    <row r="23">
      <c r="B23" s="115" t="s">
        <v>51</v>
      </c>
      <c r="C23" s="50">
        <f>58.54*1.22</f>
        <v>71.4188</v>
      </c>
      <c r="D23" s="83"/>
      <c r="E23" s="102">
        <f t="shared" si="1"/>
        <v>0</v>
      </c>
      <c r="F23" s="71">
        <v>6.0</v>
      </c>
      <c r="G23" s="102">
        <f t="shared" si="2"/>
        <v>428.5128</v>
      </c>
      <c r="H23" s="83"/>
      <c r="I23" s="83"/>
      <c r="J23" s="71">
        <v>4.0</v>
      </c>
      <c r="K23" s="102">
        <f t="shared" si="4"/>
        <v>285.6752</v>
      </c>
      <c r="L23" s="71">
        <v>2.0</v>
      </c>
      <c r="M23" s="102">
        <f t="shared" si="5"/>
        <v>142.8376</v>
      </c>
      <c r="N23" s="84"/>
      <c r="O23" s="84"/>
      <c r="P23" s="71">
        <v>6.0</v>
      </c>
      <c r="Q23" s="102">
        <f t="shared" si="7"/>
        <v>428.5128</v>
      </c>
      <c r="R23" s="83"/>
      <c r="S23" s="83"/>
      <c r="T23" s="83"/>
      <c r="U23" s="83"/>
      <c r="V23" s="83"/>
      <c r="W23" s="83"/>
      <c r="X23" s="83"/>
      <c r="Y23" s="83"/>
      <c r="Z23" s="83"/>
      <c r="AA23" s="83"/>
    </row>
    <row r="24">
      <c r="B24" s="115" t="s">
        <v>52</v>
      </c>
      <c r="C24" s="50">
        <f>94.78*1.22</f>
        <v>115.6316</v>
      </c>
      <c r="D24" s="83"/>
      <c r="E24" s="102">
        <f t="shared" si="1"/>
        <v>0</v>
      </c>
      <c r="F24" s="83"/>
      <c r="G24" s="102">
        <f t="shared" si="2"/>
        <v>0</v>
      </c>
      <c r="H24" s="83"/>
      <c r="I24" s="83"/>
      <c r="J24" s="71"/>
      <c r="K24" s="102">
        <f t="shared" si="4"/>
        <v>0</v>
      </c>
      <c r="L24" s="71"/>
      <c r="M24" s="102">
        <f t="shared" si="5"/>
        <v>0</v>
      </c>
      <c r="N24" s="84"/>
      <c r="O24" s="84"/>
      <c r="P24" s="71">
        <v>3.0</v>
      </c>
      <c r="Q24" s="102">
        <f t="shared" si="7"/>
        <v>346.8948</v>
      </c>
      <c r="R24" s="83"/>
      <c r="S24" s="83"/>
      <c r="T24" s="83"/>
      <c r="U24" s="83"/>
      <c r="V24" s="83"/>
      <c r="W24" s="83"/>
      <c r="X24" s="83"/>
      <c r="Y24" s="83"/>
      <c r="Z24" s="83"/>
      <c r="AA24" s="83"/>
    </row>
    <row r="25">
      <c r="B25" s="115" t="s">
        <v>53</v>
      </c>
      <c r="C25" s="50">
        <f>183.98*1.22</f>
        <v>224.4556</v>
      </c>
      <c r="D25" s="83"/>
      <c r="E25" s="102">
        <f t="shared" si="1"/>
        <v>0</v>
      </c>
      <c r="F25" s="71">
        <v>6.0</v>
      </c>
      <c r="G25" s="102">
        <f t="shared" si="2"/>
        <v>1346.7336</v>
      </c>
      <c r="H25" s="83"/>
      <c r="I25" s="83"/>
      <c r="J25" s="71">
        <v>7.0</v>
      </c>
      <c r="K25" s="102">
        <f t="shared" si="4"/>
        <v>1571.1892</v>
      </c>
      <c r="L25" s="71">
        <v>2.0</v>
      </c>
      <c r="M25" s="102">
        <f t="shared" si="5"/>
        <v>448.9112</v>
      </c>
      <c r="N25" s="84"/>
      <c r="O25" s="84"/>
      <c r="P25" s="71">
        <v>5.0</v>
      </c>
      <c r="Q25" s="102">
        <f t="shared" si="7"/>
        <v>1122.278</v>
      </c>
      <c r="R25" s="83"/>
      <c r="S25" s="83"/>
      <c r="T25" s="83"/>
      <c r="U25" s="83"/>
      <c r="V25" s="83"/>
      <c r="W25" s="83"/>
      <c r="X25" s="83"/>
      <c r="Y25" s="83"/>
      <c r="Z25" s="83"/>
      <c r="AA25" s="83"/>
    </row>
    <row r="26">
      <c r="B26" s="115" t="s">
        <v>127</v>
      </c>
      <c r="C26" s="50">
        <f>102.58*1.22</f>
        <v>125.1476</v>
      </c>
      <c r="D26" s="71">
        <v>1.0</v>
      </c>
      <c r="E26" s="102">
        <f t="shared" si="1"/>
        <v>125.1476</v>
      </c>
      <c r="F26" s="71">
        <v>1.0</v>
      </c>
      <c r="G26" s="102">
        <f t="shared" si="2"/>
        <v>125.1476</v>
      </c>
      <c r="H26" s="83"/>
      <c r="I26" s="83"/>
      <c r="J26" s="71"/>
      <c r="K26" s="102">
        <f t="shared" si="4"/>
        <v>0</v>
      </c>
      <c r="L26" s="83"/>
      <c r="M26" s="102">
        <f t="shared" si="5"/>
        <v>0</v>
      </c>
      <c r="N26" s="84"/>
      <c r="O26" s="84"/>
      <c r="P26" s="71">
        <v>1.0</v>
      </c>
      <c r="Q26" s="102">
        <f t="shared" si="7"/>
        <v>125.1476</v>
      </c>
      <c r="R26" s="83"/>
      <c r="S26" s="83"/>
      <c r="T26" s="83"/>
      <c r="U26" s="83"/>
      <c r="V26" s="83"/>
      <c r="W26" s="83"/>
      <c r="X26" s="83"/>
      <c r="Y26" s="83"/>
      <c r="Z26" s="83"/>
      <c r="AA26" s="83"/>
    </row>
    <row r="27">
      <c r="B27" s="115" t="s">
        <v>68</v>
      </c>
      <c r="C27" s="50">
        <f>34.01*1.22</f>
        <v>41.4922</v>
      </c>
      <c r="D27" s="83"/>
      <c r="E27" s="102">
        <f t="shared" si="1"/>
        <v>0</v>
      </c>
      <c r="F27" s="71">
        <v>8.0</v>
      </c>
      <c r="G27" s="102">
        <f t="shared" si="2"/>
        <v>331.9376</v>
      </c>
      <c r="H27" s="83"/>
      <c r="I27" s="83"/>
      <c r="J27" s="71">
        <v>9.0</v>
      </c>
      <c r="K27" s="102">
        <f t="shared" si="4"/>
        <v>373.4298</v>
      </c>
      <c r="L27" s="71">
        <v>2.0</v>
      </c>
      <c r="M27" s="102">
        <f t="shared" si="5"/>
        <v>82.9844</v>
      </c>
      <c r="N27" s="84"/>
      <c r="O27" s="84"/>
      <c r="P27" s="71">
        <v>15.0</v>
      </c>
      <c r="Q27" s="102">
        <f t="shared" si="7"/>
        <v>622.383</v>
      </c>
      <c r="R27" s="83"/>
      <c r="S27" s="83"/>
      <c r="T27" s="83"/>
      <c r="U27" s="83"/>
      <c r="V27" s="83"/>
      <c r="W27" s="83"/>
      <c r="X27" s="83"/>
      <c r="Y27" s="83"/>
      <c r="Z27" s="83"/>
      <c r="AA27" s="83"/>
    </row>
    <row r="28">
      <c r="B28" s="115" t="s">
        <v>201</v>
      </c>
      <c r="C28" s="50">
        <f>323.35*1.22</f>
        <v>394.487</v>
      </c>
      <c r="D28" s="71">
        <v>3.0</v>
      </c>
      <c r="E28" s="102">
        <f t="shared" si="1"/>
        <v>1183.461</v>
      </c>
      <c r="F28" s="71">
        <v>10.0</v>
      </c>
      <c r="G28" s="102">
        <f t="shared" si="2"/>
        <v>3944.87</v>
      </c>
      <c r="H28" s="83"/>
      <c r="I28" s="102">
        <f>$C28*H28</f>
        <v>0</v>
      </c>
      <c r="J28" s="71">
        <v>6.0</v>
      </c>
      <c r="K28" s="102">
        <f t="shared" si="4"/>
        <v>2366.922</v>
      </c>
      <c r="L28" s="71">
        <v>2.0</v>
      </c>
      <c r="M28" s="102">
        <f t="shared" si="5"/>
        <v>788.974</v>
      </c>
      <c r="N28" s="84"/>
      <c r="O28" s="105">
        <f>$C28*N28</f>
        <v>0</v>
      </c>
      <c r="P28" s="71">
        <v>6.0</v>
      </c>
      <c r="Q28" s="102">
        <f t="shared" si="7"/>
        <v>2366.922</v>
      </c>
      <c r="R28" s="83"/>
      <c r="S28" s="83"/>
      <c r="T28" s="83"/>
      <c r="U28" s="83"/>
      <c r="V28" s="83"/>
      <c r="W28" s="83"/>
      <c r="X28" s="83"/>
      <c r="Y28" s="83"/>
      <c r="Z28" s="83"/>
      <c r="AA28" s="83"/>
    </row>
    <row r="29">
      <c r="B29" s="71" t="s">
        <v>202</v>
      </c>
      <c r="C29" s="50">
        <f>143.84*1.22</f>
        <v>175.4848</v>
      </c>
      <c r="D29" s="71">
        <v>3.0</v>
      </c>
      <c r="E29" s="102">
        <f t="shared" si="1"/>
        <v>526.4544</v>
      </c>
      <c r="F29" s="71">
        <v>7.0</v>
      </c>
      <c r="G29" s="102">
        <f t="shared" si="2"/>
        <v>1228.3936</v>
      </c>
      <c r="H29" s="83"/>
      <c r="I29" s="83"/>
      <c r="J29" s="71">
        <v>5.0</v>
      </c>
      <c r="K29" s="102">
        <f t="shared" si="4"/>
        <v>877.424</v>
      </c>
      <c r="L29" s="71">
        <v>2.0</v>
      </c>
      <c r="M29" s="102">
        <f t="shared" si="5"/>
        <v>350.9696</v>
      </c>
      <c r="N29" s="84"/>
      <c r="O29" s="84"/>
      <c r="P29" s="71">
        <v>2.0</v>
      </c>
      <c r="Q29" s="102">
        <f t="shared" si="7"/>
        <v>350.9696</v>
      </c>
      <c r="R29" s="83"/>
      <c r="S29" s="83"/>
      <c r="T29" s="83"/>
      <c r="U29" s="83"/>
      <c r="V29" s="83"/>
      <c r="W29" s="83"/>
      <c r="X29" s="83"/>
      <c r="Y29" s="83"/>
      <c r="Z29" s="83"/>
      <c r="AA29" s="83"/>
    </row>
    <row r="30">
      <c r="B30" s="115" t="s">
        <v>203</v>
      </c>
      <c r="C30" s="50">
        <f>170.95*1.22</f>
        <v>208.559</v>
      </c>
      <c r="D30" s="71">
        <f>3+8</f>
        <v>11</v>
      </c>
      <c r="E30" s="102">
        <f t="shared" si="1"/>
        <v>2294.149</v>
      </c>
      <c r="F30" s="71">
        <v>7.0</v>
      </c>
      <c r="G30" s="102">
        <f t="shared" si="2"/>
        <v>1459.913</v>
      </c>
      <c r="H30" s="83"/>
      <c r="I30" s="102">
        <f t="shared" ref="I30:I32" si="8">$C30*H30</f>
        <v>0</v>
      </c>
      <c r="J30" s="71">
        <v>9.0</v>
      </c>
      <c r="K30" s="102">
        <f t="shared" si="4"/>
        <v>1877.031</v>
      </c>
      <c r="L30" s="71">
        <v>2.0</v>
      </c>
      <c r="M30" s="102">
        <f t="shared" si="5"/>
        <v>417.118</v>
      </c>
      <c r="N30" s="84"/>
      <c r="O30" s="105">
        <f t="shared" ref="O30:O32" si="9">$C30*N30</f>
        <v>0</v>
      </c>
      <c r="P30" s="71">
        <v>5.0</v>
      </c>
      <c r="Q30" s="102">
        <f t="shared" si="7"/>
        <v>1042.795</v>
      </c>
      <c r="R30" s="83"/>
      <c r="S30" s="83"/>
      <c r="T30" s="83"/>
      <c r="U30" s="83"/>
      <c r="V30" s="83"/>
      <c r="W30" s="83"/>
      <c r="X30" s="83"/>
      <c r="Y30" s="83"/>
      <c r="Z30" s="83"/>
      <c r="AA30" s="83"/>
    </row>
    <row r="31">
      <c r="B31" s="115" t="s">
        <v>204</v>
      </c>
      <c r="C31" s="50">
        <f>109.41*1.22</f>
        <v>133.4802</v>
      </c>
      <c r="D31" s="71">
        <v>3.0</v>
      </c>
      <c r="E31" s="102">
        <f t="shared" si="1"/>
        <v>400.4406</v>
      </c>
      <c r="F31" s="71">
        <f>8+6</f>
        <v>14</v>
      </c>
      <c r="G31" s="102">
        <f t="shared" si="2"/>
        <v>1868.7228</v>
      </c>
      <c r="H31" s="83"/>
      <c r="I31" s="102">
        <f t="shared" si="8"/>
        <v>0</v>
      </c>
      <c r="J31" s="71">
        <v>10.0</v>
      </c>
      <c r="K31" s="102">
        <f t="shared" si="4"/>
        <v>1334.802</v>
      </c>
      <c r="L31" s="83"/>
      <c r="M31" s="102">
        <f t="shared" si="5"/>
        <v>0</v>
      </c>
      <c r="N31" s="84"/>
      <c r="O31" s="105">
        <f t="shared" si="9"/>
        <v>0</v>
      </c>
      <c r="P31" s="71">
        <v>14.0</v>
      </c>
      <c r="Q31" s="102">
        <f t="shared" si="7"/>
        <v>1868.7228</v>
      </c>
      <c r="R31" s="83"/>
      <c r="S31" s="83"/>
      <c r="T31" s="83"/>
      <c r="U31" s="83"/>
      <c r="V31" s="83"/>
      <c r="W31" s="83"/>
      <c r="X31" s="83"/>
      <c r="Y31" s="83"/>
      <c r="Z31" s="83"/>
      <c r="AA31" s="83"/>
    </row>
    <row r="32">
      <c r="A32" s="107"/>
      <c r="B32" s="71" t="s">
        <v>205</v>
      </c>
      <c r="C32" s="102">
        <f>1086.25*1.22</f>
        <v>1325.225</v>
      </c>
      <c r="D32" s="71">
        <v>3.0</v>
      </c>
      <c r="E32" s="102">
        <f t="shared" si="1"/>
        <v>3975.675</v>
      </c>
      <c r="F32" s="71">
        <v>3.0</v>
      </c>
      <c r="G32" s="102">
        <f t="shared" si="2"/>
        <v>3975.675</v>
      </c>
      <c r="H32" s="83"/>
      <c r="I32" s="102">
        <f t="shared" si="8"/>
        <v>0</v>
      </c>
      <c r="J32" s="71">
        <v>2.0</v>
      </c>
      <c r="K32" s="102">
        <f t="shared" si="4"/>
        <v>2650.45</v>
      </c>
      <c r="L32" s="83"/>
      <c r="M32" s="102">
        <f t="shared" si="5"/>
        <v>0</v>
      </c>
      <c r="N32" s="84"/>
      <c r="O32" s="105">
        <f t="shared" si="9"/>
        <v>0</v>
      </c>
      <c r="P32" s="112">
        <v>3.0</v>
      </c>
      <c r="Q32" s="111">
        <f t="shared" si="7"/>
        <v>3975.675</v>
      </c>
      <c r="R32" s="83"/>
      <c r="S32" s="83"/>
      <c r="T32" s="83"/>
      <c r="U32" s="83"/>
      <c r="V32" s="83"/>
      <c r="W32" s="83"/>
      <c r="X32" s="83"/>
      <c r="Y32" s="83"/>
      <c r="Z32" s="83"/>
      <c r="AA32" s="83"/>
    </row>
    <row r="33">
      <c r="A33" s="116" t="s">
        <v>206</v>
      </c>
      <c r="B33" s="117" t="s">
        <v>78</v>
      </c>
      <c r="C33" s="118">
        <f>235.92*1.22</f>
        <v>287.8224</v>
      </c>
      <c r="D33" s="99"/>
      <c r="E33" s="99"/>
      <c r="F33" s="97">
        <v>7.0</v>
      </c>
      <c r="G33" s="98">
        <f t="shared" si="2"/>
        <v>2014.7568</v>
      </c>
      <c r="H33" s="99"/>
      <c r="I33" s="99"/>
      <c r="J33" s="97">
        <v>4.0</v>
      </c>
      <c r="K33" s="98">
        <f t="shared" si="4"/>
        <v>1151.2896</v>
      </c>
      <c r="L33" s="97">
        <v>1.0</v>
      </c>
      <c r="M33" s="98">
        <f t="shared" si="5"/>
        <v>287.8224</v>
      </c>
      <c r="N33" s="119"/>
      <c r="O33" s="119"/>
      <c r="P33" s="71">
        <v>6.0</v>
      </c>
      <c r="Q33" s="102">
        <f t="shared" si="7"/>
        <v>1726.9344</v>
      </c>
      <c r="R33" s="83"/>
      <c r="S33" s="83"/>
      <c r="T33" s="83"/>
      <c r="U33" s="83"/>
      <c r="V33" s="83"/>
      <c r="W33" s="83"/>
      <c r="X33" s="83"/>
      <c r="Y33" s="83"/>
      <c r="Z33" s="83"/>
      <c r="AA33" s="83"/>
    </row>
    <row r="34">
      <c r="A34" s="107"/>
      <c r="B34" s="108" t="s">
        <v>207</v>
      </c>
      <c r="C34" s="109">
        <f>1304.55*1.22</f>
        <v>1591.551</v>
      </c>
      <c r="D34" s="110"/>
      <c r="E34" s="110"/>
      <c r="F34" s="112">
        <v>1.0</v>
      </c>
      <c r="G34" s="111">
        <f t="shared" si="2"/>
        <v>1591.551</v>
      </c>
      <c r="H34" s="110"/>
      <c r="I34" s="110"/>
      <c r="J34" s="112"/>
      <c r="K34" s="102">
        <f t="shared" si="4"/>
        <v>0</v>
      </c>
      <c r="L34" s="110"/>
      <c r="M34" s="102">
        <f t="shared" si="5"/>
        <v>0</v>
      </c>
      <c r="N34" s="113"/>
      <c r="O34" s="113"/>
      <c r="P34" s="112">
        <v>1.0</v>
      </c>
      <c r="Q34" s="111">
        <f t="shared" si="7"/>
        <v>1591.551</v>
      </c>
      <c r="R34" s="83"/>
      <c r="S34" s="83"/>
      <c r="T34" s="83"/>
      <c r="U34" s="83"/>
      <c r="V34" s="83"/>
      <c r="W34" s="83"/>
      <c r="X34" s="83"/>
      <c r="Y34" s="83"/>
      <c r="Z34" s="83"/>
      <c r="AA34" s="83"/>
    </row>
    <row r="35" ht="27.75" customHeight="1">
      <c r="A35" s="114" t="s">
        <v>208</v>
      </c>
      <c r="B35" s="115" t="s">
        <v>209</v>
      </c>
      <c r="C35" s="50">
        <f>2172.4*1.086*1.22</f>
        <v>2878.256208</v>
      </c>
      <c r="D35" s="83"/>
      <c r="E35" s="83"/>
      <c r="F35" s="71">
        <v>1.0</v>
      </c>
      <c r="G35" s="102">
        <f t="shared" si="2"/>
        <v>2878.256208</v>
      </c>
      <c r="H35" s="83"/>
      <c r="I35" s="83"/>
      <c r="J35" s="71"/>
      <c r="K35" s="98">
        <f t="shared" si="4"/>
        <v>0</v>
      </c>
      <c r="L35" s="83"/>
      <c r="M35" s="98">
        <f t="shared" si="5"/>
        <v>0</v>
      </c>
      <c r="N35" s="84"/>
      <c r="O35" s="84"/>
      <c r="P35" s="71">
        <v>1.0</v>
      </c>
      <c r="Q35" s="102">
        <f t="shared" si="7"/>
        <v>2878.256208</v>
      </c>
      <c r="R35" s="83"/>
      <c r="S35" s="83"/>
      <c r="T35" s="83"/>
      <c r="U35" s="83"/>
      <c r="V35" s="83"/>
      <c r="W35" s="83"/>
      <c r="X35" s="83"/>
      <c r="Y35" s="83"/>
      <c r="Z35" s="83"/>
      <c r="AA35" s="83"/>
    </row>
    <row r="36" ht="18.75" customHeight="1">
      <c r="B36" s="71" t="s">
        <v>210</v>
      </c>
      <c r="C36" s="50">
        <f>971.8*1.086*1.22</f>
        <v>1287.557256</v>
      </c>
      <c r="D36" s="83"/>
      <c r="E36" s="83"/>
      <c r="F36" s="71">
        <v>1.0</v>
      </c>
      <c r="G36" s="102">
        <f t="shared" si="2"/>
        <v>1287.557256</v>
      </c>
      <c r="H36" s="83"/>
      <c r="I36" s="83"/>
      <c r="J36" s="71"/>
      <c r="K36" s="102">
        <f t="shared" si="4"/>
        <v>0</v>
      </c>
      <c r="L36" s="83"/>
      <c r="M36" s="102">
        <f t="shared" si="5"/>
        <v>0</v>
      </c>
      <c r="N36" s="84"/>
      <c r="O36" s="84"/>
      <c r="P36" s="71">
        <v>1.0</v>
      </c>
      <c r="Q36" s="102">
        <f t="shared" si="7"/>
        <v>1287.557256</v>
      </c>
      <c r="R36" s="83"/>
      <c r="S36" s="83"/>
      <c r="T36" s="83"/>
      <c r="U36" s="83"/>
      <c r="V36" s="83"/>
      <c r="W36" s="83"/>
      <c r="X36" s="83"/>
      <c r="Y36" s="83"/>
      <c r="Z36" s="83"/>
      <c r="AA36" s="83"/>
    </row>
    <row r="37" ht="18.0" customHeight="1">
      <c r="A37" s="107"/>
      <c r="B37" s="108" t="s">
        <v>211</v>
      </c>
      <c r="C37" s="109">
        <f>505*1.086*1.22</f>
        <v>669.0846</v>
      </c>
      <c r="D37" s="110"/>
      <c r="E37" s="110"/>
      <c r="F37" s="112">
        <v>8.0</v>
      </c>
      <c r="G37" s="102">
        <f t="shared" si="2"/>
        <v>5352.6768</v>
      </c>
      <c r="H37" s="110"/>
      <c r="I37" s="110"/>
      <c r="J37" s="112"/>
      <c r="K37" s="102">
        <f t="shared" si="4"/>
        <v>0</v>
      </c>
      <c r="L37" s="110"/>
      <c r="M37" s="102">
        <f t="shared" si="5"/>
        <v>0</v>
      </c>
      <c r="N37" s="113"/>
      <c r="O37" s="113"/>
      <c r="P37" s="112">
        <v>6.0</v>
      </c>
      <c r="Q37" s="111">
        <f t="shared" si="7"/>
        <v>4014.5076</v>
      </c>
      <c r="R37" s="83"/>
      <c r="S37" s="83"/>
      <c r="T37" s="83"/>
      <c r="U37" s="83"/>
      <c r="V37" s="83"/>
      <c r="W37" s="83"/>
      <c r="X37" s="83"/>
      <c r="Y37" s="83"/>
      <c r="Z37" s="83"/>
      <c r="AA37" s="83"/>
    </row>
    <row r="38">
      <c r="A38" s="120" t="s">
        <v>212</v>
      </c>
      <c r="B38" s="115" t="s">
        <v>213</v>
      </c>
      <c r="C38" s="50">
        <f>3573.78*1.22</f>
        <v>4360.0116</v>
      </c>
      <c r="D38" s="83"/>
      <c r="E38" s="83"/>
      <c r="F38" s="71">
        <v>1.0</v>
      </c>
      <c r="G38" s="98">
        <f t="shared" si="2"/>
        <v>4360.0116</v>
      </c>
      <c r="H38" s="83"/>
      <c r="I38" s="83"/>
      <c r="J38" s="71"/>
      <c r="K38" s="98">
        <f t="shared" si="4"/>
        <v>0</v>
      </c>
      <c r="L38" s="83"/>
      <c r="M38" s="98">
        <f t="shared" si="5"/>
        <v>0</v>
      </c>
      <c r="N38" s="84"/>
      <c r="O38" s="84"/>
      <c r="P38" s="121">
        <v>1.0</v>
      </c>
      <c r="Q38" s="102">
        <f t="shared" si="7"/>
        <v>4360.0116</v>
      </c>
      <c r="R38" s="83"/>
      <c r="S38" s="83"/>
      <c r="T38" s="83"/>
      <c r="U38" s="83"/>
      <c r="V38" s="83"/>
      <c r="W38" s="83"/>
      <c r="X38" s="83"/>
      <c r="Y38" s="83"/>
      <c r="Z38" s="83"/>
      <c r="AA38" s="83"/>
    </row>
    <row r="39">
      <c r="B39" s="115" t="s">
        <v>214</v>
      </c>
      <c r="C39" s="50">
        <f>1560.58*1.22</f>
        <v>1903.9076</v>
      </c>
      <c r="D39" s="83"/>
      <c r="E39" s="83"/>
      <c r="F39" s="71">
        <v>1.0</v>
      </c>
      <c r="G39" s="102">
        <f t="shared" si="2"/>
        <v>1903.9076</v>
      </c>
      <c r="H39" s="83"/>
      <c r="I39" s="83"/>
      <c r="J39" s="71">
        <v>2.0</v>
      </c>
      <c r="K39" s="102">
        <f t="shared" si="4"/>
        <v>3807.8152</v>
      </c>
      <c r="L39" s="83"/>
      <c r="M39" s="102">
        <f t="shared" si="5"/>
        <v>0</v>
      </c>
      <c r="N39" s="84"/>
      <c r="O39" s="84"/>
      <c r="P39" s="121">
        <v>1.0</v>
      </c>
      <c r="Q39" s="102">
        <f t="shared" si="7"/>
        <v>1903.9076</v>
      </c>
      <c r="R39" s="83"/>
      <c r="S39" s="83"/>
      <c r="T39" s="83"/>
      <c r="U39" s="83"/>
      <c r="V39" s="83"/>
      <c r="W39" s="83"/>
      <c r="X39" s="83"/>
      <c r="Y39" s="83"/>
      <c r="Z39" s="83"/>
      <c r="AA39" s="83"/>
    </row>
    <row r="40">
      <c r="B40" s="71" t="s">
        <v>215</v>
      </c>
      <c r="C40" s="50">
        <f>362.5*1.22</f>
        <v>442.25</v>
      </c>
      <c r="D40" s="83"/>
      <c r="E40" s="83"/>
      <c r="F40" s="71">
        <v>1.0</v>
      </c>
      <c r="G40" s="102">
        <f t="shared" si="2"/>
        <v>442.25</v>
      </c>
      <c r="H40" s="83"/>
      <c r="I40" s="83"/>
      <c r="J40" s="71"/>
      <c r="K40" s="102">
        <f t="shared" si="4"/>
        <v>0</v>
      </c>
      <c r="L40" s="83"/>
      <c r="M40" s="102">
        <f t="shared" si="5"/>
        <v>0</v>
      </c>
      <c r="N40" s="84"/>
      <c r="O40" s="84"/>
      <c r="P40" s="121">
        <v>1.0</v>
      </c>
      <c r="Q40" s="102">
        <f t="shared" si="7"/>
        <v>442.25</v>
      </c>
      <c r="R40" s="83"/>
      <c r="S40" s="83"/>
      <c r="T40" s="83"/>
      <c r="U40" s="83"/>
      <c r="V40" s="83"/>
      <c r="W40" s="83"/>
      <c r="X40" s="83"/>
      <c r="Y40" s="83"/>
      <c r="Z40" s="83"/>
      <c r="AA40" s="83"/>
    </row>
    <row r="41">
      <c r="B41" s="71" t="s">
        <v>216</v>
      </c>
      <c r="C41" s="50">
        <f>136*1.22</f>
        <v>165.92</v>
      </c>
      <c r="D41" s="83"/>
      <c r="E41" s="83"/>
      <c r="F41" s="71">
        <v>1.0</v>
      </c>
      <c r="G41" s="102">
        <f t="shared" si="2"/>
        <v>165.92</v>
      </c>
      <c r="H41" s="83"/>
      <c r="I41" s="83"/>
      <c r="J41" s="71">
        <v>4.0</v>
      </c>
      <c r="K41" s="102">
        <f t="shared" si="4"/>
        <v>663.68</v>
      </c>
      <c r="L41" s="83"/>
      <c r="M41" s="102">
        <f t="shared" si="5"/>
        <v>0</v>
      </c>
      <c r="N41" s="84"/>
      <c r="O41" s="84"/>
      <c r="P41" s="71">
        <v>1.0</v>
      </c>
      <c r="Q41" s="102">
        <f t="shared" si="7"/>
        <v>165.92</v>
      </c>
      <c r="R41" s="83"/>
      <c r="S41" s="83"/>
      <c r="T41" s="83"/>
      <c r="U41" s="83"/>
      <c r="V41" s="83"/>
      <c r="W41" s="83"/>
      <c r="X41" s="83"/>
      <c r="Y41" s="83"/>
      <c r="Z41" s="83"/>
      <c r="AA41" s="83"/>
    </row>
    <row r="42">
      <c r="B42" s="71" t="s">
        <v>217</v>
      </c>
      <c r="C42" s="50">
        <f>110.5*1.22</f>
        <v>134.81</v>
      </c>
      <c r="D42" s="83"/>
      <c r="E42" s="83"/>
      <c r="F42" s="71">
        <v>3.0</v>
      </c>
      <c r="G42" s="102">
        <f t="shared" si="2"/>
        <v>404.43</v>
      </c>
      <c r="H42" s="83"/>
      <c r="I42" s="83"/>
      <c r="J42" s="71">
        <v>2.0</v>
      </c>
      <c r="K42" s="102">
        <f t="shared" si="4"/>
        <v>269.62</v>
      </c>
      <c r="L42" s="83"/>
      <c r="M42" s="102">
        <f t="shared" si="5"/>
        <v>0</v>
      </c>
      <c r="N42" s="84"/>
      <c r="O42" s="84"/>
      <c r="P42" s="71">
        <v>2.0</v>
      </c>
      <c r="Q42" s="102">
        <f t="shared" si="7"/>
        <v>269.62</v>
      </c>
      <c r="R42" s="83"/>
      <c r="S42" s="83"/>
      <c r="T42" s="83"/>
      <c r="U42" s="83"/>
      <c r="V42" s="83"/>
      <c r="W42" s="83"/>
      <c r="X42" s="83"/>
      <c r="Y42" s="83"/>
      <c r="Z42" s="83"/>
      <c r="AA42" s="83"/>
    </row>
    <row r="43">
      <c r="B43" s="71" t="s">
        <v>218</v>
      </c>
      <c r="C43" s="50">
        <f>66.5*1.22</f>
        <v>81.13</v>
      </c>
      <c r="D43" s="83"/>
      <c r="E43" s="83"/>
      <c r="F43" s="71">
        <v>12.0</v>
      </c>
      <c r="G43" s="102">
        <f t="shared" si="2"/>
        <v>973.56</v>
      </c>
      <c r="H43" s="83"/>
      <c r="I43" s="83"/>
      <c r="J43" s="71">
        <v>8.0</v>
      </c>
      <c r="K43" s="102">
        <f t="shared" si="4"/>
        <v>649.04</v>
      </c>
      <c r="L43" s="83"/>
      <c r="M43" s="102">
        <f t="shared" si="5"/>
        <v>0</v>
      </c>
      <c r="N43" s="84"/>
      <c r="O43" s="84"/>
      <c r="P43" s="121">
        <v>2.0</v>
      </c>
      <c r="Q43" s="102">
        <f t="shared" si="7"/>
        <v>162.26</v>
      </c>
      <c r="R43" s="83"/>
      <c r="S43" s="83"/>
      <c r="T43" s="83"/>
      <c r="U43" s="83"/>
      <c r="V43" s="83"/>
      <c r="W43" s="83"/>
      <c r="X43" s="83"/>
      <c r="Y43" s="83"/>
      <c r="Z43" s="83"/>
      <c r="AA43" s="83"/>
    </row>
    <row r="44">
      <c r="B44" s="71" t="s">
        <v>219</v>
      </c>
      <c r="C44" s="50">
        <f>338*1.22</f>
        <v>412.36</v>
      </c>
      <c r="D44" s="83"/>
      <c r="E44" s="83"/>
      <c r="F44" s="71">
        <v>1.0</v>
      </c>
      <c r="G44" s="102">
        <f t="shared" si="2"/>
        <v>412.36</v>
      </c>
      <c r="H44" s="83"/>
      <c r="I44" s="83"/>
      <c r="J44" s="71"/>
      <c r="K44" s="102">
        <f t="shared" si="4"/>
        <v>0</v>
      </c>
      <c r="L44" s="83"/>
      <c r="M44" s="102">
        <f t="shared" si="5"/>
        <v>0</v>
      </c>
      <c r="N44" s="84"/>
      <c r="O44" s="84"/>
      <c r="P44" s="121">
        <v>1.0</v>
      </c>
      <c r="Q44" s="102">
        <f t="shared" si="7"/>
        <v>412.36</v>
      </c>
      <c r="R44" s="83"/>
      <c r="S44" s="83"/>
      <c r="T44" s="83"/>
      <c r="U44" s="83"/>
      <c r="V44" s="83"/>
      <c r="W44" s="83"/>
      <c r="X44" s="83"/>
      <c r="Y44" s="83"/>
      <c r="Z44" s="83"/>
      <c r="AA44" s="83"/>
    </row>
    <row r="45">
      <c r="B45" s="71" t="s">
        <v>220</v>
      </c>
      <c r="C45" s="50">
        <f>315*1.22</f>
        <v>384.3</v>
      </c>
      <c r="D45" s="83"/>
      <c r="E45" s="83"/>
      <c r="F45" s="71">
        <v>1.0</v>
      </c>
      <c r="G45" s="102">
        <f t="shared" si="2"/>
        <v>384.3</v>
      </c>
      <c r="H45" s="83"/>
      <c r="I45" s="83"/>
      <c r="J45" s="71">
        <v>2.0</v>
      </c>
      <c r="K45" s="102">
        <f t="shared" si="4"/>
        <v>768.6</v>
      </c>
      <c r="L45" s="83"/>
      <c r="M45" s="102">
        <f t="shared" si="5"/>
        <v>0</v>
      </c>
      <c r="N45" s="84"/>
      <c r="O45" s="84"/>
      <c r="P45" s="121">
        <v>1.0</v>
      </c>
      <c r="Q45" s="102">
        <f t="shared" si="7"/>
        <v>384.3</v>
      </c>
      <c r="R45" s="83"/>
      <c r="S45" s="83"/>
      <c r="T45" s="83"/>
      <c r="U45" s="83"/>
      <c r="V45" s="83"/>
      <c r="W45" s="83"/>
      <c r="X45" s="83"/>
      <c r="Y45" s="83"/>
      <c r="Z45" s="83"/>
      <c r="AA45" s="83"/>
    </row>
    <row r="46" ht="28.5" customHeight="1">
      <c r="B46" s="71" t="s">
        <v>221</v>
      </c>
      <c r="C46" s="50">
        <f>125.05*1.22</f>
        <v>152.561</v>
      </c>
      <c r="D46" s="83"/>
      <c r="E46" s="83"/>
      <c r="F46" s="71">
        <v>3.0</v>
      </c>
      <c r="G46" s="111">
        <f t="shared" si="2"/>
        <v>457.683</v>
      </c>
      <c r="H46" s="83"/>
      <c r="I46" s="83"/>
      <c r="J46" s="71"/>
      <c r="K46" s="102">
        <f t="shared" si="4"/>
        <v>0</v>
      </c>
      <c r="L46" s="83"/>
      <c r="M46" s="102">
        <f t="shared" si="5"/>
        <v>0</v>
      </c>
      <c r="N46" s="84"/>
      <c r="O46" s="84"/>
      <c r="P46" s="112">
        <v>1.0</v>
      </c>
      <c r="Q46" s="111">
        <f t="shared" si="7"/>
        <v>152.561</v>
      </c>
      <c r="R46" s="83"/>
      <c r="S46" s="83"/>
      <c r="T46" s="83"/>
      <c r="U46" s="83"/>
      <c r="V46" s="83"/>
      <c r="W46" s="83"/>
      <c r="X46" s="83"/>
      <c r="Y46" s="83"/>
      <c r="Z46" s="83"/>
      <c r="AA46" s="83"/>
    </row>
    <row r="47" ht="28.5" customHeight="1">
      <c r="A47" s="96" t="s">
        <v>222</v>
      </c>
      <c r="B47" s="97" t="s">
        <v>223</v>
      </c>
      <c r="C47" s="122">
        <v>0.0</v>
      </c>
      <c r="D47" s="99">
        <v>0.0</v>
      </c>
      <c r="E47" s="98">
        <f t="shared" ref="E47:E48" si="10">$C47*D47</f>
        <v>0</v>
      </c>
      <c r="F47" s="97"/>
      <c r="G47" s="98">
        <f t="shared" si="2"/>
        <v>0</v>
      </c>
      <c r="H47" s="99"/>
      <c r="I47" s="98">
        <f t="shared" ref="I47:I48" si="11">$C47*H47</f>
        <v>0</v>
      </c>
      <c r="J47" s="97">
        <v>25.0</v>
      </c>
      <c r="K47" s="98">
        <f t="shared" si="4"/>
        <v>0</v>
      </c>
      <c r="L47" s="99"/>
      <c r="M47" s="98">
        <f t="shared" si="5"/>
        <v>0</v>
      </c>
      <c r="N47" s="119"/>
      <c r="O47" s="101">
        <f t="shared" ref="O47:O48" si="12">$C47*N47</f>
        <v>0</v>
      </c>
      <c r="P47" s="83"/>
      <c r="Q47" s="102">
        <f t="shared" si="7"/>
        <v>0</v>
      </c>
      <c r="R47" s="83"/>
      <c r="S47" s="83"/>
      <c r="T47" s="83"/>
      <c r="U47" s="83"/>
      <c r="V47" s="83"/>
      <c r="W47" s="83"/>
      <c r="X47" s="83"/>
      <c r="Y47" s="83"/>
      <c r="Z47" s="83"/>
      <c r="AA47" s="83"/>
    </row>
    <row r="48">
      <c r="B48" s="71" t="s">
        <v>128</v>
      </c>
      <c r="C48" s="51">
        <v>0.0</v>
      </c>
      <c r="D48" s="83">
        <v>0.0</v>
      </c>
      <c r="E48" s="102">
        <f t="shared" si="10"/>
        <v>0</v>
      </c>
      <c r="F48" s="83"/>
      <c r="G48" s="102">
        <f t="shared" si="2"/>
        <v>0</v>
      </c>
      <c r="H48" s="83"/>
      <c r="I48" s="102">
        <f t="shared" si="11"/>
        <v>0</v>
      </c>
      <c r="J48" s="83"/>
      <c r="K48" s="102">
        <f t="shared" si="4"/>
        <v>0</v>
      </c>
      <c r="L48" s="83"/>
      <c r="M48" s="102">
        <f t="shared" si="5"/>
        <v>0</v>
      </c>
      <c r="N48" s="84"/>
      <c r="O48" s="105">
        <f t="shared" si="12"/>
        <v>0</v>
      </c>
      <c r="P48" s="71"/>
      <c r="Q48" s="102">
        <f t="shared" si="7"/>
        <v>0</v>
      </c>
      <c r="R48" s="83"/>
      <c r="S48" s="83"/>
      <c r="T48" s="83"/>
      <c r="U48" s="83"/>
      <c r="V48" s="83"/>
      <c r="W48" s="83"/>
      <c r="X48" s="83"/>
      <c r="Y48" s="83"/>
      <c r="Z48" s="83"/>
      <c r="AA48" s="83"/>
    </row>
    <row r="49">
      <c r="B49" s="71" t="s">
        <v>224</v>
      </c>
      <c r="C49" s="50">
        <f>165.02*1.22</f>
        <v>201.3244</v>
      </c>
      <c r="D49" s="83"/>
      <c r="E49" s="83"/>
      <c r="F49" s="71">
        <v>13.0</v>
      </c>
      <c r="G49" s="102">
        <f t="shared" si="2"/>
        <v>2617.2172</v>
      </c>
      <c r="H49" s="83"/>
      <c r="I49" s="83"/>
      <c r="J49" s="83"/>
      <c r="K49" s="83"/>
      <c r="L49" s="83"/>
      <c r="M49" s="83"/>
      <c r="N49" s="84"/>
      <c r="O49" s="84"/>
      <c r="P49" s="83"/>
      <c r="Q49" s="102">
        <f t="shared" si="7"/>
        <v>0</v>
      </c>
      <c r="R49" s="83"/>
      <c r="S49" s="83"/>
      <c r="T49" s="83"/>
      <c r="U49" s="83"/>
      <c r="V49" s="83"/>
      <c r="W49" s="83"/>
      <c r="X49" s="83"/>
      <c r="Y49" s="83"/>
      <c r="Z49" s="83"/>
      <c r="AA49" s="83"/>
    </row>
    <row r="50">
      <c r="B50" s="71" t="s">
        <v>225</v>
      </c>
      <c r="C50" s="50">
        <f>199.56*1.22</f>
        <v>243.4632</v>
      </c>
      <c r="D50" s="83"/>
      <c r="E50" s="83"/>
      <c r="F50" s="71"/>
      <c r="G50" s="102">
        <f t="shared" si="2"/>
        <v>0</v>
      </c>
      <c r="H50" s="83"/>
      <c r="I50" s="83"/>
      <c r="J50" s="83"/>
      <c r="K50" s="83"/>
      <c r="L50" s="83"/>
      <c r="M50" s="83"/>
      <c r="N50" s="84"/>
      <c r="O50" s="84"/>
      <c r="P50" s="71">
        <v>13.0</v>
      </c>
      <c r="Q50" s="102">
        <f t="shared" si="7"/>
        <v>3165.0216</v>
      </c>
      <c r="R50" s="83"/>
      <c r="S50" s="83"/>
      <c r="T50" s="83"/>
      <c r="U50" s="83"/>
      <c r="V50" s="83"/>
      <c r="W50" s="83"/>
      <c r="X50" s="83"/>
      <c r="Y50" s="83"/>
      <c r="Z50" s="83"/>
      <c r="AA50" s="83"/>
    </row>
    <row r="51">
      <c r="B51" s="71" t="s">
        <v>226</v>
      </c>
      <c r="C51" s="51">
        <v>0.0</v>
      </c>
      <c r="D51" s="83"/>
      <c r="E51" s="83"/>
      <c r="F51" s="71">
        <v>3.0</v>
      </c>
      <c r="G51" s="102">
        <f t="shared" si="2"/>
        <v>0</v>
      </c>
      <c r="H51" s="83"/>
      <c r="I51" s="83"/>
      <c r="J51" s="71">
        <v>5.0</v>
      </c>
      <c r="K51" s="102">
        <f t="shared" ref="K51:K58" si="13">$C51*J51</f>
        <v>0</v>
      </c>
      <c r="L51" s="83"/>
      <c r="M51" s="102">
        <f t="shared" ref="M51:M58" si="14">$C51*L51</f>
        <v>0</v>
      </c>
      <c r="N51" s="84"/>
      <c r="O51" s="84"/>
      <c r="P51" s="71">
        <v>8.0</v>
      </c>
      <c r="Q51" s="102">
        <f t="shared" si="7"/>
        <v>0</v>
      </c>
      <c r="R51" s="83"/>
      <c r="S51" s="83"/>
      <c r="T51" s="83"/>
      <c r="U51" s="83"/>
      <c r="V51" s="83"/>
      <c r="W51" s="83"/>
      <c r="X51" s="83"/>
      <c r="Y51" s="83"/>
      <c r="Z51" s="83"/>
      <c r="AA51" s="83"/>
    </row>
    <row r="52">
      <c r="A52" s="107"/>
      <c r="B52" s="112" t="s">
        <v>227</v>
      </c>
      <c r="C52" s="123">
        <v>0.0</v>
      </c>
      <c r="D52" s="110"/>
      <c r="E52" s="110"/>
      <c r="F52" s="112">
        <v>3.0</v>
      </c>
      <c r="G52" s="111">
        <f t="shared" si="2"/>
        <v>0</v>
      </c>
      <c r="H52" s="110"/>
      <c r="I52" s="110"/>
      <c r="J52" s="112">
        <v>5.0</v>
      </c>
      <c r="K52" s="102">
        <f t="shared" si="13"/>
        <v>0</v>
      </c>
      <c r="L52" s="110"/>
      <c r="M52" s="102">
        <f t="shared" si="14"/>
        <v>0</v>
      </c>
      <c r="N52" s="113"/>
      <c r="O52" s="113"/>
      <c r="P52" s="112">
        <v>2.0</v>
      </c>
      <c r="Q52" s="111">
        <f t="shared" si="7"/>
        <v>0</v>
      </c>
      <c r="R52" s="83"/>
      <c r="S52" s="83"/>
      <c r="T52" s="83"/>
      <c r="U52" s="83"/>
      <c r="V52" s="83"/>
      <c r="W52" s="83"/>
      <c r="X52" s="83"/>
      <c r="Y52" s="83"/>
      <c r="Z52" s="83"/>
      <c r="AA52" s="83"/>
    </row>
    <row r="53">
      <c r="A53" s="120" t="s">
        <v>228</v>
      </c>
      <c r="B53" s="71" t="s">
        <v>129</v>
      </c>
      <c r="C53" s="50">
        <f>211.85*1.22</f>
        <v>258.457</v>
      </c>
      <c r="D53" s="83"/>
      <c r="E53" s="83"/>
      <c r="F53" s="71">
        <v>5.0</v>
      </c>
      <c r="G53" s="102">
        <f t="shared" si="2"/>
        <v>1292.285</v>
      </c>
      <c r="H53" s="83"/>
      <c r="I53" s="83"/>
      <c r="J53" s="71">
        <v>1.0</v>
      </c>
      <c r="K53" s="98">
        <f t="shared" si="13"/>
        <v>258.457</v>
      </c>
      <c r="L53" s="83"/>
      <c r="M53" s="98">
        <f t="shared" si="14"/>
        <v>0</v>
      </c>
      <c r="N53" s="84"/>
      <c r="O53" s="84"/>
      <c r="P53" s="71">
        <v>4.0</v>
      </c>
      <c r="Q53" s="102">
        <f t="shared" si="7"/>
        <v>1033.828</v>
      </c>
      <c r="R53" s="83"/>
      <c r="S53" s="83"/>
      <c r="T53" s="83"/>
      <c r="U53" s="83"/>
      <c r="V53" s="83"/>
      <c r="W53" s="83"/>
      <c r="X53" s="83"/>
      <c r="Y53" s="83"/>
      <c r="Z53" s="83"/>
      <c r="AA53" s="83"/>
    </row>
    <row r="54">
      <c r="B54" s="71" t="s">
        <v>229</v>
      </c>
      <c r="C54" s="50">
        <f>260.91*1.22</f>
        <v>318.3102</v>
      </c>
      <c r="D54" s="83"/>
      <c r="E54" s="83"/>
      <c r="F54" s="71"/>
      <c r="G54" s="102">
        <f t="shared" si="2"/>
        <v>0</v>
      </c>
      <c r="H54" s="83"/>
      <c r="I54" s="83"/>
      <c r="J54" s="71">
        <v>2.0</v>
      </c>
      <c r="K54" s="102">
        <f t="shared" si="13"/>
        <v>636.6204</v>
      </c>
      <c r="L54" s="83"/>
      <c r="M54" s="102">
        <f t="shared" si="14"/>
        <v>0</v>
      </c>
      <c r="N54" s="84"/>
      <c r="O54" s="84"/>
      <c r="P54" s="83"/>
      <c r="Q54" s="102">
        <f t="shared" si="7"/>
        <v>0</v>
      </c>
      <c r="R54" s="83"/>
      <c r="S54" s="83"/>
      <c r="T54" s="83"/>
      <c r="U54" s="83"/>
      <c r="V54" s="83"/>
      <c r="W54" s="83"/>
      <c r="X54" s="83"/>
      <c r="Y54" s="83"/>
      <c r="Z54" s="83"/>
      <c r="AA54" s="83"/>
    </row>
    <row r="55">
      <c r="B55" s="71" t="s">
        <v>230</v>
      </c>
      <c r="C55" s="50">
        <f>177.3*1.22</f>
        <v>216.306</v>
      </c>
      <c r="D55" s="83"/>
      <c r="E55" s="83"/>
      <c r="F55" s="71">
        <v>5.0</v>
      </c>
      <c r="G55" s="102">
        <f t="shared" si="2"/>
        <v>1081.53</v>
      </c>
      <c r="H55" s="83"/>
      <c r="I55" s="83"/>
      <c r="J55" s="83"/>
      <c r="K55" s="102">
        <f t="shared" si="13"/>
        <v>0</v>
      </c>
      <c r="L55" s="83"/>
      <c r="M55" s="102">
        <f t="shared" si="14"/>
        <v>0</v>
      </c>
      <c r="N55" s="84"/>
      <c r="O55" s="84"/>
      <c r="P55" s="71"/>
      <c r="Q55" s="102">
        <f t="shared" si="7"/>
        <v>0</v>
      </c>
      <c r="R55" s="83"/>
      <c r="S55" s="83"/>
      <c r="T55" s="83"/>
      <c r="U55" s="83"/>
      <c r="V55" s="83"/>
      <c r="W55" s="83"/>
      <c r="X55" s="83"/>
      <c r="Y55" s="83"/>
      <c r="Z55" s="83"/>
      <c r="AA55" s="83"/>
    </row>
    <row r="56">
      <c r="A56" s="107"/>
      <c r="B56" s="112" t="s">
        <v>221</v>
      </c>
      <c r="C56" s="109">
        <f>125.05*1.22</f>
        <v>152.561</v>
      </c>
      <c r="D56" s="110"/>
      <c r="E56" s="110"/>
      <c r="F56" s="112">
        <v>7.0</v>
      </c>
      <c r="G56" s="111">
        <f t="shared" si="2"/>
        <v>1067.927</v>
      </c>
      <c r="H56" s="110"/>
      <c r="I56" s="110"/>
      <c r="J56" s="112">
        <v>2.0</v>
      </c>
      <c r="K56" s="102">
        <f t="shared" si="13"/>
        <v>305.122</v>
      </c>
      <c r="L56" s="110"/>
      <c r="M56" s="102">
        <f t="shared" si="14"/>
        <v>0</v>
      </c>
      <c r="N56" s="113"/>
      <c r="O56" s="113"/>
      <c r="P56" s="112">
        <v>8.0</v>
      </c>
      <c r="Q56" s="111">
        <f t="shared" si="7"/>
        <v>1220.488</v>
      </c>
      <c r="R56" s="83"/>
      <c r="S56" s="83"/>
      <c r="T56" s="83"/>
      <c r="U56" s="83"/>
      <c r="V56" s="83"/>
      <c r="W56" s="83"/>
      <c r="X56" s="83"/>
      <c r="Y56" s="83"/>
      <c r="Z56" s="83"/>
      <c r="AA56" s="83"/>
    </row>
    <row r="57">
      <c r="A57" s="83"/>
      <c r="B57" s="71" t="s">
        <v>231</v>
      </c>
      <c r="C57" s="50">
        <f>920*1.22</f>
        <v>1122.4</v>
      </c>
      <c r="D57" s="83"/>
      <c r="E57" s="83"/>
      <c r="F57" s="71">
        <v>1.0</v>
      </c>
      <c r="G57" s="102">
        <f t="shared" si="2"/>
        <v>1122.4</v>
      </c>
      <c r="H57" s="83"/>
      <c r="I57" s="83"/>
      <c r="J57" s="71">
        <v>1.0</v>
      </c>
      <c r="K57" s="98">
        <f t="shared" si="13"/>
        <v>1122.4</v>
      </c>
      <c r="L57" s="83"/>
      <c r="M57" s="98">
        <f t="shared" si="14"/>
        <v>0</v>
      </c>
      <c r="N57" s="84"/>
      <c r="O57" s="84"/>
      <c r="P57" s="71">
        <v>1.0</v>
      </c>
      <c r="Q57" s="102">
        <f t="shared" si="7"/>
        <v>1122.4</v>
      </c>
      <c r="R57" s="83"/>
      <c r="S57" s="83"/>
      <c r="T57" s="83"/>
      <c r="U57" s="83"/>
      <c r="V57" s="83"/>
      <c r="W57" s="83"/>
      <c r="X57" s="83"/>
      <c r="Y57" s="83"/>
      <c r="Z57" s="83"/>
      <c r="AA57" s="83"/>
    </row>
    <row r="58">
      <c r="A58" s="83"/>
      <c r="B58" s="71" t="s">
        <v>232</v>
      </c>
      <c r="C58" s="50">
        <f>1093*1.05</f>
        <v>1147.65</v>
      </c>
      <c r="D58" s="83"/>
      <c r="E58" s="83"/>
      <c r="F58" s="71">
        <v>1.0</v>
      </c>
      <c r="G58" s="102">
        <f t="shared" si="2"/>
        <v>1147.65</v>
      </c>
      <c r="H58" s="83"/>
      <c r="I58" s="83"/>
      <c r="J58" s="71"/>
      <c r="K58" s="102">
        <f t="shared" si="13"/>
        <v>0</v>
      </c>
      <c r="L58" s="83"/>
      <c r="M58" s="102">
        <f t="shared" si="14"/>
        <v>0</v>
      </c>
      <c r="N58" s="84"/>
      <c r="O58" s="84"/>
      <c r="P58" s="71">
        <v>1.0</v>
      </c>
      <c r="Q58" s="102">
        <f t="shared" si="7"/>
        <v>1147.65</v>
      </c>
      <c r="R58" s="83"/>
      <c r="S58" s="83"/>
      <c r="T58" s="83"/>
      <c r="U58" s="83"/>
      <c r="V58" s="83"/>
      <c r="W58" s="83"/>
      <c r="X58" s="83"/>
      <c r="Y58" s="83"/>
      <c r="Z58" s="83"/>
      <c r="AA58" s="83"/>
    </row>
    <row r="59">
      <c r="A59" s="83"/>
      <c r="B59" s="71" t="s">
        <v>233</v>
      </c>
      <c r="C59" s="50">
        <f>850*1.22</f>
        <v>1037</v>
      </c>
      <c r="D59" s="83"/>
      <c r="E59" s="83"/>
      <c r="F59" s="71">
        <v>1.0</v>
      </c>
      <c r="G59" s="102">
        <f t="shared" si="2"/>
        <v>1037</v>
      </c>
      <c r="H59" s="83"/>
      <c r="I59" s="83"/>
      <c r="J59" s="71"/>
      <c r="K59" s="83"/>
      <c r="L59" s="83"/>
      <c r="M59" s="83"/>
      <c r="N59" s="84"/>
      <c r="O59" s="84"/>
      <c r="P59" s="71">
        <v>1.0</v>
      </c>
      <c r="Q59" s="102">
        <f t="shared" si="7"/>
        <v>1037</v>
      </c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83"/>
      <c r="B60" s="71" t="s">
        <v>234</v>
      </c>
      <c r="C60" s="50">
        <f>4137.98*1.22</f>
        <v>5048.3356</v>
      </c>
      <c r="D60" s="83"/>
      <c r="E60" s="83"/>
      <c r="F60" s="71">
        <v>1.0</v>
      </c>
      <c r="G60" s="102">
        <f t="shared" si="2"/>
        <v>5048.3356</v>
      </c>
      <c r="H60" s="83"/>
      <c r="I60" s="83"/>
      <c r="J60" s="71">
        <v>1.0</v>
      </c>
      <c r="K60" s="102">
        <f>$C60*J60</f>
        <v>5048.3356</v>
      </c>
      <c r="L60" s="83"/>
      <c r="M60" s="102">
        <f>$C60*L60</f>
        <v>0</v>
      </c>
      <c r="N60" s="121">
        <v>2.0</v>
      </c>
      <c r="O60" s="84"/>
      <c r="P60" s="121">
        <v>1.0</v>
      </c>
      <c r="Q60" s="102">
        <f t="shared" si="7"/>
        <v>5048.3356</v>
      </c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83"/>
      <c r="B61" s="71" t="s">
        <v>235</v>
      </c>
      <c r="C61" s="50">
        <f>1531.26*1.22</f>
        <v>1868.1372</v>
      </c>
      <c r="D61" s="83"/>
      <c r="E61" s="83"/>
      <c r="F61" s="71">
        <v>1.0</v>
      </c>
      <c r="G61" s="102">
        <f t="shared" si="2"/>
        <v>1868.1372</v>
      </c>
      <c r="H61" s="83"/>
      <c r="I61" s="83"/>
      <c r="J61" s="83"/>
      <c r="K61" s="83"/>
      <c r="L61" s="83"/>
      <c r="M61" s="83"/>
      <c r="N61" s="121">
        <v>2.0</v>
      </c>
      <c r="O61" s="84"/>
      <c r="P61" s="71">
        <v>1.0</v>
      </c>
      <c r="Q61" s="102">
        <f t="shared" si="7"/>
        <v>1868.1372</v>
      </c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83"/>
      <c r="B62" s="71" t="s">
        <v>236</v>
      </c>
      <c r="C62" s="50">
        <f>4500*1.04</f>
        <v>4680</v>
      </c>
      <c r="D62" s="83"/>
      <c r="E62" s="83"/>
      <c r="F62" s="71">
        <v>1.0</v>
      </c>
      <c r="G62" s="102">
        <f t="shared" si="2"/>
        <v>4680</v>
      </c>
      <c r="H62" s="83"/>
      <c r="I62" s="83"/>
      <c r="J62" s="83"/>
      <c r="K62" s="102">
        <f t="shared" ref="K62:K63" si="15">$C62*J62</f>
        <v>0</v>
      </c>
      <c r="L62" s="83"/>
      <c r="M62" s="102">
        <f t="shared" ref="M62:M64" si="16">$C62*L62</f>
        <v>0</v>
      </c>
      <c r="N62" s="121">
        <v>2.0</v>
      </c>
      <c r="O62" s="84"/>
      <c r="P62" s="71">
        <v>1.0</v>
      </c>
      <c r="Q62" s="102">
        <f t="shared" si="7"/>
        <v>4680</v>
      </c>
      <c r="R62" s="83"/>
      <c r="S62" s="83"/>
      <c r="T62" s="83"/>
      <c r="U62" s="83"/>
      <c r="V62" s="83"/>
      <c r="W62" s="83"/>
      <c r="X62" s="83"/>
      <c r="Y62" s="83"/>
      <c r="Z62" s="83"/>
      <c r="AA62" s="83"/>
    </row>
    <row r="63">
      <c r="A63" s="83"/>
      <c r="B63" s="71" t="s">
        <v>237</v>
      </c>
      <c r="C63" s="51">
        <v>0.0</v>
      </c>
      <c r="D63" s="83"/>
      <c r="E63" s="83"/>
      <c r="F63" s="83"/>
      <c r="G63" s="102">
        <f t="shared" si="2"/>
        <v>0</v>
      </c>
      <c r="H63" s="83"/>
      <c r="I63" s="83"/>
      <c r="J63" s="83"/>
      <c r="K63" s="102">
        <f t="shared" si="15"/>
        <v>0</v>
      </c>
      <c r="L63" s="83"/>
      <c r="M63" s="102">
        <f t="shared" si="16"/>
        <v>0</v>
      </c>
      <c r="N63" s="84"/>
      <c r="O63" s="84"/>
      <c r="P63" s="83"/>
      <c r="Q63" s="102">
        <f t="shared" si="7"/>
        <v>0</v>
      </c>
      <c r="R63" s="83"/>
      <c r="S63" s="83"/>
      <c r="T63" s="83"/>
      <c r="U63" s="83"/>
      <c r="V63" s="83"/>
      <c r="W63" s="83"/>
      <c r="X63" s="83"/>
      <c r="Y63" s="83"/>
      <c r="Z63" s="83"/>
      <c r="AA63" s="83"/>
    </row>
    <row r="64">
      <c r="A64" s="83"/>
      <c r="B64" s="71" t="s">
        <v>238</v>
      </c>
      <c r="C64" s="51">
        <v>0.0</v>
      </c>
      <c r="D64" s="83"/>
      <c r="E64" s="83"/>
      <c r="F64" s="83"/>
      <c r="G64" s="102">
        <f t="shared" si="2"/>
        <v>0</v>
      </c>
      <c r="H64" s="83"/>
      <c r="I64" s="83"/>
      <c r="J64" s="71">
        <v>1.0</v>
      </c>
      <c r="K64" s="83"/>
      <c r="L64" s="83"/>
      <c r="M64" s="102">
        <f t="shared" si="16"/>
        <v>0</v>
      </c>
      <c r="N64" s="84"/>
      <c r="O64" s="84"/>
      <c r="P64" s="83"/>
      <c r="Q64" s="102">
        <f t="shared" si="7"/>
        <v>0</v>
      </c>
      <c r="R64" s="83"/>
      <c r="S64" s="83"/>
      <c r="T64" s="83"/>
      <c r="U64" s="83"/>
      <c r="V64" s="83"/>
      <c r="W64" s="83"/>
      <c r="X64" s="83"/>
      <c r="Y64" s="83"/>
      <c r="Z64" s="83"/>
      <c r="AA64" s="83"/>
    </row>
    <row r="65">
      <c r="A65" s="83"/>
      <c r="B65" s="71" t="s">
        <v>130</v>
      </c>
      <c r="C65" s="51">
        <v>0.0</v>
      </c>
      <c r="D65" s="83"/>
      <c r="E65" s="83"/>
      <c r="F65" s="83"/>
      <c r="G65" s="102"/>
      <c r="H65" s="83"/>
      <c r="I65" s="83"/>
      <c r="J65" s="83"/>
      <c r="K65" s="83"/>
      <c r="L65" s="83"/>
      <c r="M65" s="83"/>
      <c r="N65" s="84"/>
      <c r="O65" s="84"/>
      <c r="P65" s="71">
        <v>1.0</v>
      </c>
      <c r="Q65" s="102">
        <f t="shared" si="7"/>
        <v>0</v>
      </c>
      <c r="R65" s="83"/>
      <c r="S65" s="83"/>
      <c r="T65" s="83"/>
      <c r="U65" s="83"/>
      <c r="V65" s="83"/>
      <c r="W65" s="83"/>
      <c r="X65" s="83"/>
      <c r="Y65" s="83"/>
      <c r="Z65" s="83"/>
      <c r="AA65" s="83"/>
    </row>
    <row r="66">
      <c r="A66" s="124"/>
      <c r="B66" s="124"/>
      <c r="C66" s="125"/>
      <c r="D66" s="126"/>
      <c r="E66" s="126"/>
      <c r="F66" s="126"/>
      <c r="G66" s="126"/>
      <c r="H66" s="126"/>
      <c r="I66" s="126"/>
      <c r="J66" s="83"/>
      <c r="K66" s="83"/>
      <c r="L66" s="126"/>
      <c r="M66" s="126"/>
      <c r="N66" s="127"/>
      <c r="O66" s="127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Z66" s="126"/>
      <c r="AA66" s="126"/>
    </row>
    <row r="67">
      <c r="A67" s="124"/>
      <c r="B67" s="124"/>
      <c r="C67" s="125"/>
      <c r="D67" s="126"/>
      <c r="E67" s="126"/>
      <c r="F67" s="126"/>
      <c r="G67" s="126"/>
      <c r="H67" s="126"/>
      <c r="I67" s="126"/>
      <c r="J67" s="83"/>
      <c r="K67" s="83"/>
      <c r="L67" s="126"/>
      <c r="M67" s="126"/>
      <c r="N67" s="127"/>
      <c r="O67" s="127"/>
      <c r="P67" s="126"/>
      <c r="Q67" s="126"/>
      <c r="R67" s="126"/>
      <c r="S67" s="126"/>
      <c r="T67" s="126"/>
      <c r="U67" s="126"/>
      <c r="V67" s="126"/>
      <c r="W67" s="126"/>
      <c r="X67" s="126"/>
      <c r="Y67" s="126"/>
      <c r="Z67" s="126"/>
      <c r="AA67" s="126"/>
    </row>
    <row r="68">
      <c r="A68" s="124"/>
      <c r="B68" s="124"/>
      <c r="C68" s="125"/>
      <c r="D68" s="126"/>
      <c r="E68" s="126"/>
      <c r="F68" s="126"/>
      <c r="G68" s="126"/>
      <c r="H68" s="126"/>
      <c r="I68" s="126"/>
      <c r="J68" s="83"/>
      <c r="K68" s="83"/>
      <c r="L68" s="126"/>
      <c r="M68" s="126"/>
      <c r="N68" s="127"/>
      <c r="O68" s="127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Z68" s="126"/>
      <c r="AA68" s="126"/>
    </row>
    <row r="69">
      <c r="A69" s="124"/>
      <c r="B69" s="124" t="s">
        <v>239</v>
      </c>
      <c r="C69" s="125"/>
      <c r="D69" s="126"/>
      <c r="E69" s="125">
        <f>SUM(E8:E64)</f>
        <v>95326.13618</v>
      </c>
      <c r="F69" s="126"/>
      <c r="G69" s="125">
        <f>SUM(G8:G64)</f>
        <v>124003.307</v>
      </c>
      <c r="H69" s="126"/>
      <c r="I69" s="125">
        <f>SUM(I8:I64)</f>
        <v>0</v>
      </c>
      <c r="J69" s="83"/>
      <c r="K69" s="102">
        <f>SUM(K8:K64)</f>
        <v>79556.34786</v>
      </c>
      <c r="L69" s="126"/>
      <c r="M69" s="125">
        <f>SUM(M8:M64)</f>
        <v>18497.85936</v>
      </c>
      <c r="N69" s="127"/>
      <c r="O69" s="128">
        <f>SUM(O8:O64)</f>
        <v>68925.12</v>
      </c>
      <c r="P69" s="126"/>
      <c r="Q69" s="125">
        <f>SUM(Q8:Q64)</f>
        <v>116823.6036</v>
      </c>
      <c r="R69" s="126"/>
      <c r="S69" s="126"/>
      <c r="T69" s="126"/>
      <c r="U69" s="126"/>
      <c r="V69" s="126"/>
      <c r="W69" s="126"/>
      <c r="X69" s="126"/>
      <c r="Y69" s="126"/>
      <c r="Z69" s="126"/>
      <c r="AA69" s="126"/>
    </row>
    <row r="70">
      <c r="A70" s="124"/>
      <c r="B70" s="129" t="s">
        <v>150</v>
      </c>
      <c r="C70" s="130">
        <f>SUM(D69:Q70)</f>
        <v>503132.3739</v>
      </c>
      <c r="D70" s="126"/>
      <c r="E70" s="126"/>
      <c r="F70" s="126"/>
      <c r="G70" s="126"/>
      <c r="H70" s="126"/>
      <c r="I70" s="126"/>
      <c r="J70" s="83"/>
      <c r="K70" s="83"/>
      <c r="L70" s="126"/>
      <c r="M70" s="126"/>
      <c r="N70" s="127"/>
      <c r="O70" s="127"/>
      <c r="P70" s="126"/>
      <c r="Q70" s="126"/>
      <c r="R70" s="126"/>
      <c r="S70" s="126"/>
      <c r="T70" s="126"/>
      <c r="U70" s="126"/>
      <c r="V70" s="126"/>
      <c r="W70" s="126"/>
      <c r="X70" s="126"/>
      <c r="Y70" s="126"/>
      <c r="Z70" s="126"/>
      <c r="AA70" s="126"/>
    </row>
    <row r="71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3"/>
      <c r="N71" s="84"/>
      <c r="O71" s="84"/>
      <c r="P71" s="83"/>
      <c r="Q71" s="83"/>
      <c r="R71" s="83"/>
      <c r="S71" s="83"/>
      <c r="T71" s="83"/>
      <c r="U71" s="83"/>
      <c r="V71" s="83"/>
      <c r="W71" s="83"/>
      <c r="X71" s="83"/>
      <c r="Y71" s="83"/>
      <c r="Z71" s="83"/>
      <c r="AA71" s="83"/>
    </row>
    <row r="72">
      <c r="A72" s="83"/>
      <c r="B72" s="131" t="s">
        <v>240</v>
      </c>
      <c r="C72" s="83"/>
      <c r="D72" s="83"/>
      <c r="E72" s="125">
        <f>0.02*0.8*E69/1.22</f>
        <v>1250.178835</v>
      </c>
      <c r="F72" s="83"/>
      <c r="G72" s="125">
        <f>0.02*0.8*G69/1.22</f>
        <v>1626.272878</v>
      </c>
      <c r="H72" s="83"/>
      <c r="I72" s="125">
        <f>0.02*0.8*I69/1.22</f>
        <v>0</v>
      </c>
      <c r="J72" s="83"/>
      <c r="K72" s="102">
        <f>0.02*0.8*K69/1.22</f>
        <v>1043.361939</v>
      </c>
      <c r="L72" s="83"/>
      <c r="M72" s="125">
        <f>0.02*0.8*M69/1.22</f>
        <v>242.5948768</v>
      </c>
      <c r="N72" s="84"/>
      <c r="O72" s="128">
        <f>0.02*0.8*O69/1.22</f>
        <v>903.936</v>
      </c>
      <c r="P72" s="83"/>
      <c r="Q72" s="125">
        <f>0.02*0.8*Q69/1.22</f>
        <v>1532.112834</v>
      </c>
      <c r="R72" s="83"/>
      <c r="S72" s="83"/>
      <c r="T72" s="83"/>
      <c r="U72" s="83"/>
      <c r="V72" s="83"/>
      <c r="W72" s="83"/>
      <c r="X72" s="83"/>
      <c r="Y72" s="83"/>
      <c r="Z72" s="83"/>
      <c r="AA72" s="83"/>
    </row>
    <row r="73" ht="15.75" customHeight="1">
      <c r="A73" s="83"/>
      <c r="B73" s="83"/>
      <c r="C73" s="83"/>
      <c r="D73" s="83"/>
      <c r="E73" s="83"/>
      <c r="F73" s="83"/>
      <c r="G73" s="83"/>
      <c r="H73" s="83"/>
      <c r="I73" s="83"/>
      <c r="K73" s="34"/>
      <c r="L73" s="83"/>
      <c r="M73" s="83"/>
      <c r="N73" s="84"/>
      <c r="O73" s="84"/>
      <c r="P73" s="83"/>
      <c r="Q73" s="83"/>
      <c r="R73" s="83"/>
      <c r="S73" s="83"/>
      <c r="T73" s="83"/>
      <c r="U73" s="83"/>
      <c r="V73" s="83"/>
      <c r="W73" s="83"/>
      <c r="X73" s="83"/>
      <c r="Y73" s="83"/>
      <c r="Z73" s="83"/>
      <c r="AA73" s="83"/>
    </row>
    <row r="74" ht="15.75" customHeight="1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4"/>
      <c r="O74" s="84"/>
      <c r="P74" s="83"/>
      <c r="Q74" s="83"/>
      <c r="R74" s="83"/>
      <c r="S74" s="83"/>
      <c r="T74" s="83"/>
      <c r="U74" s="83"/>
      <c r="V74" s="83"/>
      <c r="W74" s="83"/>
      <c r="X74" s="83"/>
      <c r="Y74" s="83"/>
      <c r="Z74" s="83"/>
      <c r="AA74" s="83"/>
    </row>
    <row r="75" ht="15.75" customHeight="1">
      <c r="A75" s="83"/>
      <c r="B75" s="61" t="s">
        <v>241</v>
      </c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3"/>
      <c r="N75" s="84"/>
      <c r="O75" s="84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3"/>
      <c r="AA75" s="83"/>
    </row>
    <row r="76" ht="15.75" customHeight="1">
      <c r="A76" s="61" t="s">
        <v>242</v>
      </c>
      <c r="B76" s="62" t="s">
        <v>154</v>
      </c>
      <c r="C76" s="63" t="s">
        <v>155</v>
      </c>
      <c r="D76" s="94" t="s">
        <v>42</v>
      </c>
      <c r="E76" s="64" t="s">
        <v>156</v>
      </c>
      <c r="F76" s="94" t="s">
        <v>42</v>
      </c>
      <c r="G76" s="64" t="s">
        <v>156</v>
      </c>
      <c r="H76" s="94" t="s">
        <v>42</v>
      </c>
      <c r="I76" s="64" t="s">
        <v>156</v>
      </c>
      <c r="J76" s="94" t="s">
        <v>42</v>
      </c>
      <c r="K76" s="64" t="s">
        <v>156</v>
      </c>
      <c r="L76" s="94" t="s">
        <v>42</v>
      </c>
      <c r="M76" s="64" t="s">
        <v>156</v>
      </c>
      <c r="N76" s="95" t="s">
        <v>42</v>
      </c>
      <c r="O76" s="132" t="s">
        <v>156</v>
      </c>
      <c r="P76" s="94" t="s">
        <v>42</v>
      </c>
      <c r="Q76" s="64" t="s">
        <v>156</v>
      </c>
      <c r="R76" s="83"/>
      <c r="S76" s="83"/>
      <c r="T76" s="83"/>
      <c r="U76" s="83"/>
      <c r="V76" s="83"/>
      <c r="W76" s="83"/>
      <c r="X76" s="83"/>
      <c r="Y76" s="83"/>
      <c r="Z76" s="83"/>
      <c r="AA76" s="83"/>
    </row>
    <row r="77" ht="15.75" customHeight="1">
      <c r="A77" s="66" t="s">
        <v>157</v>
      </c>
      <c r="B77" s="97" t="s">
        <v>185</v>
      </c>
      <c r="C77" s="98">
        <f>1412.4*1.22</f>
        <v>1723.128</v>
      </c>
      <c r="D77" s="97">
        <v>36.0</v>
      </c>
      <c r="E77" s="99"/>
      <c r="F77" s="97">
        <v>20.0</v>
      </c>
      <c r="G77" s="118" t="s">
        <v>243</v>
      </c>
      <c r="H77" s="99"/>
      <c r="I77" s="99"/>
      <c r="J77" s="97">
        <v>8.0</v>
      </c>
      <c r="K77" s="99"/>
      <c r="L77" s="133">
        <v>5.0</v>
      </c>
      <c r="M77" s="134"/>
      <c r="N77" s="100">
        <v>40.0</v>
      </c>
      <c r="O77" s="119"/>
      <c r="P77" s="135">
        <v>20.0</v>
      </c>
      <c r="Q77" s="83"/>
      <c r="R77" s="83"/>
      <c r="S77" s="83"/>
      <c r="T77" s="83"/>
      <c r="U77" s="83"/>
      <c r="V77" s="83"/>
      <c r="W77" s="83"/>
      <c r="X77" s="83"/>
      <c r="Y77" s="83"/>
      <c r="Z77" s="83"/>
      <c r="AA77" s="83"/>
    </row>
    <row r="78" ht="15.75" customHeight="1">
      <c r="A78" s="66" t="s">
        <v>157</v>
      </c>
      <c r="B78" s="67" t="s">
        <v>165</v>
      </c>
      <c r="C78" s="68">
        <v>3000.0</v>
      </c>
      <c r="D78" s="71">
        <v>1.0</v>
      </c>
      <c r="E78" s="83"/>
      <c r="F78" s="83"/>
      <c r="G78" s="83"/>
      <c r="H78" s="83"/>
      <c r="I78" s="83"/>
      <c r="J78" s="71">
        <v>1.0</v>
      </c>
      <c r="K78" s="136">
        <f t="shared" ref="K78:K80" si="17">$C78*J78</f>
        <v>3000</v>
      </c>
      <c r="L78" s="137"/>
      <c r="M78" s="137"/>
      <c r="N78" s="121">
        <v>2.0</v>
      </c>
      <c r="O78" s="84"/>
      <c r="P78" s="137"/>
      <c r="Q78" s="83"/>
      <c r="R78" s="83"/>
      <c r="S78" s="83"/>
      <c r="T78" s="83"/>
      <c r="U78" s="83"/>
      <c r="V78" s="83"/>
      <c r="W78" s="83"/>
      <c r="X78" s="83"/>
      <c r="Y78" s="83"/>
      <c r="Z78" s="83"/>
      <c r="AA78" s="83"/>
    </row>
    <row r="79" ht="15.75" customHeight="1">
      <c r="A79" s="66" t="s">
        <v>157</v>
      </c>
      <c r="B79" s="67" t="s">
        <v>161</v>
      </c>
      <c r="C79" s="68">
        <v>1200.0</v>
      </c>
      <c r="D79" s="83"/>
      <c r="E79" s="83"/>
      <c r="F79" s="83"/>
      <c r="G79" s="83"/>
      <c r="H79" s="83"/>
      <c r="I79" s="83"/>
      <c r="J79" s="83"/>
      <c r="K79" s="136">
        <f t="shared" si="17"/>
        <v>0</v>
      </c>
      <c r="L79" s="137"/>
      <c r="M79" s="137"/>
      <c r="N79" s="121">
        <v>4.0</v>
      </c>
      <c r="O79" s="84"/>
      <c r="P79" s="137"/>
      <c r="Q79" s="83"/>
      <c r="R79" s="83"/>
      <c r="S79" s="83"/>
      <c r="T79" s="83"/>
      <c r="U79" s="83"/>
      <c r="V79" s="83"/>
      <c r="W79" s="83"/>
      <c r="X79" s="83"/>
      <c r="Y79" s="83"/>
      <c r="Z79" s="83"/>
      <c r="AA79" s="83"/>
    </row>
    <row r="80" ht="15.75" customHeight="1">
      <c r="A80" s="66" t="s">
        <v>157</v>
      </c>
      <c r="B80" s="67" t="s">
        <v>162</v>
      </c>
      <c r="C80" s="68">
        <v>3000.0</v>
      </c>
      <c r="D80" s="71">
        <v>1.0</v>
      </c>
      <c r="E80" s="83"/>
      <c r="F80" s="71">
        <v>1.0</v>
      </c>
      <c r="G80" s="50" t="s">
        <v>243</v>
      </c>
      <c r="H80" s="83"/>
      <c r="I80" s="83"/>
      <c r="J80" s="71">
        <v>1.0</v>
      </c>
      <c r="K80" s="136">
        <f t="shared" si="17"/>
        <v>3000</v>
      </c>
      <c r="L80" s="137"/>
      <c r="M80" s="137"/>
      <c r="N80" s="121">
        <v>2.0</v>
      </c>
      <c r="O80" s="84"/>
      <c r="P80" s="137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</row>
    <row r="81" ht="15.75" customHeight="1">
      <c r="A81" s="66" t="s">
        <v>157</v>
      </c>
      <c r="B81" s="71" t="s">
        <v>159</v>
      </c>
      <c r="C81" s="68">
        <v>1500.0</v>
      </c>
      <c r="D81" s="71">
        <v>1.0</v>
      </c>
      <c r="E81" s="83"/>
      <c r="F81" s="83"/>
      <c r="G81" s="83"/>
      <c r="H81" s="83"/>
      <c r="I81" s="83"/>
      <c r="J81" s="138"/>
      <c r="K81" s="138"/>
      <c r="L81" s="137"/>
      <c r="M81" s="137"/>
      <c r="N81" s="121">
        <v>2.0</v>
      </c>
      <c r="O81" s="84"/>
      <c r="P81" s="137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</row>
    <row r="82" ht="15.75" customHeight="1">
      <c r="A82" s="66"/>
      <c r="B82" s="71" t="s">
        <v>234</v>
      </c>
      <c r="C82" s="50">
        <f>4137.98*1.22</f>
        <v>5048.3356</v>
      </c>
      <c r="D82" s="71">
        <v>2.0</v>
      </c>
      <c r="E82" s="83"/>
      <c r="F82" s="71">
        <v>1.0</v>
      </c>
      <c r="G82" s="50" t="s">
        <v>243</v>
      </c>
      <c r="H82" s="83"/>
      <c r="I82" s="83"/>
      <c r="J82" s="71">
        <v>1.0</v>
      </c>
      <c r="K82" s="83"/>
      <c r="L82" s="137"/>
      <c r="M82" s="137"/>
      <c r="N82" s="121">
        <v>2.0</v>
      </c>
      <c r="O82" s="84"/>
      <c r="P82" s="135">
        <v>1.0</v>
      </c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</row>
    <row r="83" ht="15.75" customHeight="1">
      <c r="A83" s="66"/>
      <c r="B83" s="71" t="s">
        <v>235</v>
      </c>
      <c r="C83" s="50">
        <f>1531.26*1.22</f>
        <v>1868.1372</v>
      </c>
      <c r="D83" s="71">
        <v>2.0</v>
      </c>
      <c r="E83" s="83"/>
      <c r="F83" s="71">
        <v>1.0</v>
      </c>
      <c r="G83" s="50" t="s">
        <v>243</v>
      </c>
      <c r="H83" s="83"/>
      <c r="I83" s="83"/>
      <c r="J83" s="83"/>
      <c r="K83" s="83"/>
      <c r="L83" s="137"/>
      <c r="M83" s="137"/>
      <c r="N83" s="121">
        <v>2.0</v>
      </c>
      <c r="O83" s="84"/>
      <c r="P83" s="135">
        <v>1.0</v>
      </c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</row>
    <row r="84" ht="15.75" customHeight="1">
      <c r="A84" s="66"/>
      <c r="B84" s="71" t="s">
        <v>236</v>
      </c>
      <c r="C84" s="50">
        <f>4500*1.04</f>
        <v>4680</v>
      </c>
      <c r="D84" s="71">
        <v>2.0</v>
      </c>
      <c r="E84" s="83"/>
      <c r="F84" s="71">
        <v>1.0</v>
      </c>
      <c r="G84" s="50" t="s">
        <v>243</v>
      </c>
      <c r="H84" s="83"/>
      <c r="I84" s="83"/>
      <c r="J84" s="83"/>
      <c r="K84" s="83"/>
      <c r="L84" s="83"/>
      <c r="M84" s="83"/>
      <c r="N84" s="121">
        <v>2.0</v>
      </c>
      <c r="O84" s="84"/>
      <c r="P84" s="71">
        <v>1.0</v>
      </c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</row>
    <row r="85" ht="15.75" customHeight="1">
      <c r="A85" s="66"/>
      <c r="B85" s="67"/>
      <c r="C85" s="68"/>
      <c r="D85" s="83"/>
      <c r="E85" s="83"/>
      <c r="F85" s="83"/>
      <c r="G85" s="83"/>
      <c r="H85" s="83"/>
      <c r="I85" s="83"/>
      <c r="L85" s="83"/>
      <c r="M85" s="83"/>
      <c r="N85" s="84"/>
      <c r="O85" s="84"/>
      <c r="P85" s="83"/>
      <c r="Q85" s="83"/>
      <c r="R85" s="83"/>
      <c r="S85" s="83"/>
      <c r="T85" s="83"/>
      <c r="U85" s="83"/>
      <c r="V85" s="83"/>
      <c r="W85" s="83"/>
      <c r="X85" s="83"/>
      <c r="Y85" s="83"/>
      <c r="Z85" s="83"/>
      <c r="AA85" s="83"/>
    </row>
    <row r="86" ht="15.75" customHeight="1">
      <c r="A86" s="66"/>
      <c r="B86" s="67"/>
      <c r="C86" s="68"/>
      <c r="D86" s="83"/>
      <c r="E86" s="83"/>
      <c r="F86" s="83"/>
      <c r="G86" s="83"/>
      <c r="H86" s="83"/>
      <c r="I86" s="83"/>
      <c r="L86" s="83"/>
      <c r="M86" s="83"/>
      <c r="N86" s="84"/>
      <c r="O86" s="84"/>
      <c r="P86" s="83"/>
      <c r="Q86" s="83"/>
      <c r="R86" s="83"/>
      <c r="S86" s="83"/>
      <c r="T86" s="83"/>
      <c r="U86" s="83"/>
      <c r="V86" s="83"/>
      <c r="W86" s="83"/>
      <c r="X86" s="83"/>
      <c r="Y86" s="83"/>
      <c r="Z86" s="83"/>
      <c r="AA86" s="83"/>
    </row>
    <row r="87" ht="15.75" customHeight="1">
      <c r="A87" s="66"/>
      <c r="B87" s="67"/>
      <c r="C87" s="68"/>
      <c r="D87" s="83"/>
      <c r="E87" s="83"/>
      <c r="F87" s="83"/>
      <c r="G87" s="83"/>
      <c r="H87" s="83"/>
      <c r="I87" s="83"/>
      <c r="L87" s="83"/>
      <c r="M87" s="83"/>
      <c r="N87" s="84"/>
      <c r="O87" s="84"/>
      <c r="P87" s="83"/>
      <c r="Q87" s="83"/>
      <c r="R87" s="83"/>
      <c r="S87" s="83"/>
      <c r="T87" s="83"/>
      <c r="U87" s="83"/>
      <c r="V87" s="83"/>
      <c r="W87" s="83"/>
      <c r="X87" s="83"/>
      <c r="Y87" s="83"/>
      <c r="Z87" s="83"/>
      <c r="AA87" s="83"/>
    </row>
    <row r="88" ht="15.75" customHeight="1">
      <c r="A88" s="66"/>
      <c r="D88" s="83"/>
      <c r="E88" s="83"/>
      <c r="F88" s="83"/>
      <c r="G88" s="83"/>
      <c r="H88" s="83"/>
      <c r="I88" s="83"/>
      <c r="L88" s="83"/>
      <c r="M88" s="83"/>
      <c r="N88" s="84"/>
      <c r="O88" s="84"/>
      <c r="P88" s="83"/>
      <c r="Q88" s="83"/>
      <c r="R88" s="83"/>
      <c r="S88" s="83"/>
      <c r="T88" s="83"/>
      <c r="U88" s="83"/>
      <c r="V88" s="83"/>
      <c r="W88" s="83"/>
      <c r="X88" s="83"/>
      <c r="Y88" s="83"/>
      <c r="Z88" s="83"/>
      <c r="AA88" s="83"/>
    </row>
    <row r="89" ht="15.75" customHeight="1">
      <c r="A89" s="66"/>
      <c r="B89" s="67"/>
      <c r="C89" s="68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4"/>
      <c r="O89" s="84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</row>
    <row r="90" ht="15.75" customHeight="1">
      <c r="A90" s="66"/>
      <c r="B90" s="67"/>
      <c r="C90" s="68"/>
      <c r="D90" s="83"/>
      <c r="E90" s="83"/>
      <c r="F90" s="83"/>
      <c r="G90" s="83"/>
      <c r="H90" s="83"/>
      <c r="I90" s="83"/>
      <c r="J90" s="83"/>
      <c r="K90" s="83"/>
      <c r="L90" s="83"/>
      <c r="M90" s="83"/>
      <c r="N90" s="84"/>
      <c r="O90" s="84"/>
      <c r="P90" s="83"/>
      <c r="Q90" s="83"/>
      <c r="R90" s="83"/>
      <c r="S90" s="83"/>
      <c r="T90" s="83"/>
      <c r="U90" s="83"/>
      <c r="V90" s="83"/>
      <c r="W90" s="83"/>
      <c r="X90" s="83"/>
      <c r="Y90" s="83"/>
      <c r="Z90" s="83"/>
      <c r="AA90" s="83"/>
    </row>
    <row r="91" ht="15.75" customHeight="1">
      <c r="A91" s="66"/>
      <c r="B91" s="67"/>
      <c r="C91" s="68"/>
      <c r="D91" s="83"/>
      <c r="E91" s="83"/>
      <c r="F91" s="83"/>
      <c r="G91" s="83"/>
      <c r="H91" s="83"/>
      <c r="I91" s="83"/>
      <c r="J91" s="83"/>
      <c r="K91" s="83"/>
      <c r="L91" s="83"/>
      <c r="M91" s="83"/>
      <c r="N91" s="84"/>
      <c r="O91" s="84"/>
      <c r="P91" s="83"/>
      <c r="Q91" s="83"/>
      <c r="R91" s="83"/>
      <c r="S91" s="83"/>
      <c r="T91" s="83"/>
      <c r="U91" s="83"/>
      <c r="V91" s="83"/>
      <c r="W91" s="83"/>
      <c r="X91" s="83"/>
      <c r="Y91" s="83"/>
      <c r="Z91" s="83"/>
      <c r="AA91" s="83"/>
    </row>
    <row r="92" ht="15.75" customHeight="1">
      <c r="A92" s="66"/>
      <c r="B92" s="67"/>
      <c r="C92" s="68"/>
      <c r="D92" s="83"/>
      <c r="E92" s="83"/>
      <c r="F92" s="83"/>
      <c r="G92" s="83"/>
      <c r="H92" s="83"/>
      <c r="I92" s="83"/>
      <c r="J92" s="83"/>
      <c r="K92" s="83"/>
      <c r="L92" s="83"/>
      <c r="M92" s="83"/>
      <c r="N92" s="84"/>
      <c r="O92" s="84"/>
      <c r="P92" s="83"/>
      <c r="Q92" s="83"/>
      <c r="R92" s="83"/>
      <c r="S92" s="83"/>
      <c r="T92" s="83"/>
      <c r="U92" s="83"/>
      <c r="V92" s="83"/>
      <c r="W92" s="83"/>
      <c r="X92" s="83"/>
      <c r="Y92" s="83"/>
      <c r="Z92" s="83"/>
      <c r="AA92" s="83"/>
    </row>
    <row r="93" ht="15.75" customHeight="1">
      <c r="A93" s="66"/>
      <c r="B93" s="67"/>
      <c r="C93" s="68"/>
      <c r="D93" s="83"/>
      <c r="E93" s="83"/>
      <c r="F93" s="83"/>
      <c r="G93" s="83"/>
      <c r="H93" s="83"/>
      <c r="I93" s="83"/>
      <c r="J93" s="83"/>
      <c r="K93" s="83"/>
      <c r="L93" s="83"/>
      <c r="M93" s="83"/>
      <c r="N93" s="84"/>
      <c r="O93" s="84"/>
      <c r="P93" s="83"/>
      <c r="Q93" s="83"/>
      <c r="R93" s="83"/>
      <c r="S93" s="83"/>
      <c r="T93" s="83"/>
      <c r="U93" s="83"/>
      <c r="V93" s="83"/>
      <c r="W93" s="83"/>
      <c r="X93" s="83"/>
      <c r="Y93" s="83"/>
      <c r="Z93" s="83"/>
      <c r="AA93" s="83"/>
    </row>
    <row r="94" ht="15.75" customHeight="1">
      <c r="A94" s="66"/>
      <c r="B94" s="67"/>
      <c r="C94" s="68"/>
      <c r="D94" s="83"/>
      <c r="E94" s="83"/>
      <c r="F94" s="83"/>
      <c r="G94" s="83"/>
      <c r="H94" s="83"/>
      <c r="I94" s="83"/>
      <c r="J94" s="83"/>
      <c r="K94" s="83"/>
      <c r="L94" s="83"/>
      <c r="M94" s="83"/>
      <c r="N94" s="84"/>
      <c r="O94" s="84"/>
      <c r="P94" s="83"/>
      <c r="Q94" s="83"/>
      <c r="R94" s="83"/>
      <c r="S94" s="83"/>
      <c r="T94" s="83"/>
      <c r="U94" s="83"/>
      <c r="V94" s="83"/>
      <c r="W94" s="83"/>
      <c r="X94" s="83"/>
      <c r="Y94" s="83"/>
      <c r="Z94" s="83"/>
      <c r="AA94" s="83"/>
    </row>
    <row r="95" ht="15.75" customHeight="1">
      <c r="A95" s="66"/>
      <c r="B95" s="67"/>
      <c r="C95" s="68"/>
      <c r="D95" s="83"/>
      <c r="E95" s="83"/>
      <c r="F95" s="83"/>
      <c r="G95" s="83"/>
      <c r="H95" s="83"/>
      <c r="I95" s="83"/>
      <c r="J95" s="83"/>
      <c r="K95" s="83"/>
      <c r="L95" s="83"/>
      <c r="M95" s="83"/>
      <c r="N95" s="84"/>
      <c r="O95" s="84"/>
      <c r="P95" s="83"/>
      <c r="Q95" s="83"/>
      <c r="R95" s="83"/>
      <c r="S95" s="83"/>
      <c r="T95" s="83"/>
      <c r="U95" s="83"/>
      <c r="V95" s="83"/>
      <c r="W95" s="83"/>
      <c r="X95" s="83"/>
      <c r="Y95" s="83"/>
      <c r="Z95" s="83"/>
      <c r="AA95" s="83"/>
    </row>
    <row r="96" ht="15.75" customHeight="1">
      <c r="A96" s="66"/>
      <c r="B96" s="67"/>
      <c r="C96" s="68"/>
      <c r="D96" s="83"/>
      <c r="E96" s="83"/>
      <c r="F96" s="83"/>
      <c r="G96" s="83"/>
      <c r="H96" s="83"/>
      <c r="I96" s="83"/>
      <c r="J96" s="83"/>
      <c r="K96" s="83"/>
      <c r="L96" s="83"/>
      <c r="M96" s="83"/>
      <c r="N96" s="84"/>
      <c r="O96" s="84"/>
      <c r="P96" s="83"/>
      <c r="Q96" s="83"/>
      <c r="R96" s="83"/>
      <c r="S96" s="83"/>
      <c r="T96" s="83"/>
      <c r="U96" s="83"/>
      <c r="V96" s="83"/>
      <c r="W96" s="83"/>
      <c r="X96" s="83"/>
      <c r="Y96" s="83"/>
      <c r="Z96" s="83"/>
      <c r="AA96" s="83"/>
    </row>
    <row r="97" ht="15.75" customHeight="1">
      <c r="A97" s="66"/>
      <c r="B97" s="67"/>
      <c r="C97" s="68"/>
      <c r="D97" s="83"/>
      <c r="E97" s="83"/>
      <c r="F97" s="83"/>
      <c r="G97" s="83"/>
      <c r="H97" s="83"/>
      <c r="I97" s="83"/>
      <c r="J97" s="83"/>
      <c r="K97" s="83"/>
      <c r="L97" s="83"/>
      <c r="M97" s="83"/>
      <c r="N97" s="84"/>
      <c r="O97" s="84"/>
      <c r="P97" s="83"/>
      <c r="Q97" s="83"/>
      <c r="R97" s="83"/>
      <c r="S97" s="83"/>
      <c r="T97" s="83"/>
      <c r="U97" s="83"/>
      <c r="V97" s="83"/>
      <c r="W97" s="83"/>
      <c r="X97" s="83"/>
      <c r="Y97" s="83"/>
      <c r="Z97" s="83"/>
      <c r="AA97" s="83"/>
    </row>
    <row r="98" ht="15.75" customHeight="1">
      <c r="A98" s="83"/>
      <c r="B98" s="66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3"/>
      <c r="N98" s="84"/>
      <c r="O98" s="84"/>
      <c r="P98" s="83"/>
      <c r="Q98" s="83"/>
      <c r="R98" s="83"/>
      <c r="S98" s="83"/>
      <c r="T98" s="83"/>
      <c r="U98" s="83"/>
      <c r="V98" s="83"/>
      <c r="W98" s="83"/>
      <c r="X98" s="83"/>
      <c r="Y98" s="83"/>
      <c r="Z98" s="83"/>
      <c r="AA98" s="83"/>
    </row>
    <row r="99" ht="15.75" customHeight="1">
      <c r="A99" s="83"/>
      <c r="B99" s="66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3"/>
      <c r="N99" s="84"/>
      <c r="O99" s="84"/>
      <c r="P99" s="83"/>
      <c r="Q99" s="83"/>
      <c r="R99" s="83"/>
      <c r="S99" s="83"/>
      <c r="T99" s="83"/>
      <c r="U99" s="83"/>
      <c r="V99" s="83"/>
      <c r="W99" s="83"/>
      <c r="X99" s="83"/>
      <c r="Y99" s="83"/>
      <c r="Z99" s="83"/>
      <c r="AA99" s="83"/>
    </row>
    <row r="100" ht="15.75" customHeight="1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3"/>
      <c r="N100" s="84"/>
      <c r="O100" s="84"/>
      <c r="P100" s="83"/>
      <c r="Q100" s="83"/>
      <c r="R100" s="83"/>
      <c r="S100" s="83"/>
      <c r="T100" s="83"/>
      <c r="U100" s="83"/>
      <c r="V100" s="83"/>
      <c r="W100" s="83"/>
      <c r="X100" s="83"/>
      <c r="Y100" s="83"/>
      <c r="Z100" s="83"/>
      <c r="AA100" s="83"/>
    </row>
    <row r="101" ht="15.75" customHeight="1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N101" s="84"/>
      <c r="O101" s="84"/>
      <c r="P101" s="83"/>
      <c r="Q101" s="83"/>
      <c r="R101" s="83"/>
      <c r="S101" s="83"/>
      <c r="T101" s="83"/>
      <c r="U101" s="83"/>
      <c r="V101" s="83"/>
      <c r="W101" s="83"/>
      <c r="X101" s="83"/>
      <c r="Y101" s="83"/>
      <c r="Z101" s="83"/>
      <c r="AA101" s="83"/>
    </row>
    <row r="102" ht="15.75" customHeight="1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3"/>
      <c r="N102" s="84"/>
      <c r="O102" s="84"/>
      <c r="P102" s="83"/>
      <c r="Q102" s="83"/>
      <c r="R102" s="83"/>
      <c r="S102" s="83"/>
      <c r="T102" s="83"/>
      <c r="U102" s="83"/>
      <c r="V102" s="83"/>
      <c r="W102" s="83"/>
      <c r="X102" s="83"/>
      <c r="Y102" s="83"/>
      <c r="Z102" s="83"/>
      <c r="AA102" s="83"/>
    </row>
    <row r="103" ht="15.75" customHeight="1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3"/>
      <c r="N103" s="84"/>
      <c r="O103" s="84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</row>
    <row r="104" ht="15.75" customHeight="1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3"/>
      <c r="N104" s="84"/>
      <c r="O104" s="84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 ht="15.75" customHeight="1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3"/>
      <c r="N105" s="84"/>
      <c r="O105" s="84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</row>
    <row r="106" ht="15.75" customHeight="1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3"/>
      <c r="N106" s="84"/>
      <c r="O106" s="84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</row>
    <row r="107" ht="15.75" customHeight="1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3"/>
      <c r="N107" s="84"/>
      <c r="O107" s="84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</row>
    <row r="108" ht="15.75" customHeight="1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3"/>
      <c r="N108" s="84"/>
      <c r="O108" s="84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</row>
    <row r="109" ht="15.75" customHeight="1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3"/>
      <c r="N109" s="84"/>
      <c r="O109" s="84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</row>
    <row r="110" ht="15.75" customHeight="1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3"/>
      <c r="N110" s="84"/>
      <c r="O110" s="84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</row>
    <row r="111" ht="15.75" customHeight="1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3"/>
      <c r="N111" s="84"/>
      <c r="O111" s="84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</row>
    <row r="112" ht="15.75" customHeight="1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3"/>
      <c r="N112" s="84"/>
      <c r="O112" s="84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</row>
    <row r="113" ht="15.75" customHeight="1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N113" s="84"/>
      <c r="O113" s="84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</row>
    <row r="114" ht="15.75" customHeight="1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3"/>
      <c r="N114" s="84"/>
      <c r="O114" s="84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</row>
    <row r="115" ht="15.75" customHeight="1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3"/>
      <c r="N115" s="84"/>
      <c r="O115" s="84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</row>
    <row r="116" ht="15.75" customHeight="1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3"/>
      <c r="N116" s="84"/>
      <c r="O116" s="84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</row>
    <row r="117" ht="15.75" customHeight="1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3"/>
      <c r="N117" s="84"/>
      <c r="O117" s="84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</row>
    <row r="118" ht="15.75" customHeight="1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N118" s="84"/>
      <c r="O118" s="84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</row>
    <row r="119" ht="15.75" customHeight="1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3"/>
      <c r="N119" s="84"/>
      <c r="O119" s="84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</row>
    <row r="120" ht="15.75" customHeight="1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N120" s="84"/>
      <c r="O120" s="84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</row>
    <row r="121" ht="15.75" customHeight="1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3"/>
      <c r="N121" s="84"/>
      <c r="O121" s="84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</row>
    <row r="122" ht="15.75" customHeight="1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3"/>
      <c r="N122" s="84"/>
      <c r="O122" s="84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</row>
    <row r="123" ht="15.75" customHeight="1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3"/>
      <c r="N123" s="84"/>
      <c r="O123" s="84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</row>
    <row r="124" ht="15.75" customHeight="1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3"/>
      <c r="N124" s="84"/>
      <c r="O124" s="84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</row>
    <row r="125" ht="15.75" customHeight="1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3"/>
      <c r="N125" s="84"/>
      <c r="O125" s="84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</row>
    <row r="126" ht="15.75" customHeight="1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3"/>
      <c r="N126" s="84"/>
      <c r="O126" s="84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</row>
    <row r="127" ht="15.75" customHeight="1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3"/>
      <c r="N127" s="84"/>
      <c r="O127" s="84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</row>
    <row r="128" ht="15.75" customHeight="1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N128" s="84"/>
      <c r="O128" s="84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</row>
    <row r="129" ht="15.75" customHeight="1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3"/>
      <c r="N129" s="84"/>
      <c r="O129" s="84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</row>
    <row r="130" ht="15.75" customHeight="1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3"/>
      <c r="N130" s="84"/>
      <c r="O130" s="84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</row>
    <row r="131" ht="15.75" customHeight="1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3"/>
      <c r="N131" s="84"/>
      <c r="O131" s="84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4"/>
      <c r="O132" s="84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</row>
    <row r="133" ht="15.75" customHeight="1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3"/>
      <c r="N133" s="84"/>
      <c r="O133" s="84"/>
      <c r="P133" s="83"/>
      <c r="Q133" s="83"/>
      <c r="R133" s="83"/>
      <c r="S133" s="83"/>
      <c r="T133" s="83"/>
      <c r="U133" s="83"/>
      <c r="V133" s="83"/>
      <c r="W133" s="83"/>
      <c r="X133" s="83"/>
      <c r="Y133" s="83"/>
      <c r="Z133" s="83"/>
      <c r="AA133" s="83"/>
    </row>
    <row r="134" ht="15.75" customHeight="1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3"/>
      <c r="N134" s="84"/>
      <c r="O134" s="84"/>
      <c r="P134" s="83"/>
      <c r="Q134" s="83"/>
      <c r="R134" s="83"/>
      <c r="S134" s="83"/>
      <c r="T134" s="83"/>
      <c r="U134" s="83"/>
      <c r="V134" s="83"/>
      <c r="W134" s="83"/>
      <c r="X134" s="83"/>
      <c r="Y134" s="83"/>
      <c r="Z134" s="83"/>
      <c r="AA134" s="83"/>
    </row>
    <row r="135" ht="15.75" customHeight="1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3"/>
      <c r="N135" s="84"/>
      <c r="O135" s="84"/>
      <c r="P135" s="83"/>
      <c r="Q135" s="83"/>
      <c r="R135" s="83"/>
      <c r="S135" s="83"/>
      <c r="T135" s="83"/>
      <c r="U135" s="83"/>
      <c r="V135" s="83"/>
      <c r="W135" s="83"/>
      <c r="X135" s="83"/>
      <c r="Y135" s="83"/>
      <c r="Z135" s="83"/>
      <c r="AA135" s="83"/>
    </row>
    <row r="136" ht="15.75" customHeight="1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3"/>
      <c r="N136" s="84"/>
      <c r="O136" s="84"/>
      <c r="P136" s="83"/>
      <c r="Q136" s="83"/>
      <c r="R136" s="83"/>
      <c r="S136" s="83"/>
      <c r="T136" s="83"/>
      <c r="U136" s="83"/>
      <c r="V136" s="83"/>
      <c r="W136" s="83"/>
      <c r="X136" s="83"/>
      <c r="Y136" s="83"/>
      <c r="Z136" s="83"/>
      <c r="AA136" s="83"/>
    </row>
    <row r="137" ht="15.75" customHeight="1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3"/>
      <c r="N137" s="84"/>
      <c r="O137" s="84"/>
      <c r="P137" s="83"/>
      <c r="Q137" s="83"/>
      <c r="R137" s="83"/>
      <c r="S137" s="83"/>
      <c r="T137" s="83"/>
      <c r="U137" s="83"/>
      <c r="V137" s="83"/>
      <c r="W137" s="83"/>
      <c r="X137" s="83"/>
      <c r="Y137" s="83"/>
      <c r="Z137" s="83"/>
      <c r="AA137" s="83"/>
    </row>
    <row r="138" ht="15.75" customHeight="1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3"/>
      <c r="N138" s="84"/>
      <c r="O138" s="84"/>
      <c r="P138" s="83"/>
      <c r="Q138" s="83"/>
      <c r="R138" s="83"/>
      <c r="S138" s="83"/>
      <c r="T138" s="83"/>
      <c r="U138" s="83"/>
      <c r="V138" s="83"/>
      <c r="W138" s="83"/>
      <c r="X138" s="83"/>
      <c r="Y138" s="83"/>
      <c r="Z138" s="83"/>
      <c r="AA138" s="83"/>
    </row>
    <row r="139" ht="15.75" customHeight="1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3"/>
      <c r="N139" s="84"/>
      <c r="O139" s="84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3"/>
      <c r="AA139" s="83"/>
    </row>
    <row r="140" ht="15.75" customHeight="1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N140" s="84"/>
      <c r="O140" s="84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</row>
    <row r="141" ht="15.75" customHeight="1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3"/>
      <c r="N141" s="84"/>
      <c r="O141" s="84"/>
      <c r="P141" s="83"/>
      <c r="Q141" s="83"/>
      <c r="R141" s="83"/>
      <c r="S141" s="83"/>
      <c r="T141" s="83"/>
      <c r="U141" s="83"/>
      <c r="V141" s="83"/>
      <c r="W141" s="83"/>
      <c r="X141" s="83"/>
      <c r="Y141" s="83"/>
      <c r="Z141" s="83"/>
      <c r="AA141" s="83"/>
    </row>
    <row r="142" ht="15.75" customHeight="1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3"/>
      <c r="N142" s="84"/>
      <c r="O142" s="84"/>
      <c r="P142" s="83"/>
      <c r="Q142" s="83"/>
      <c r="R142" s="83"/>
      <c r="S142" s="83"/>
      <c r="T142" s="83"/>
      <c r="U142" s="83"/>
      <c r="V142" s="83"/>
      <c r="W142" s="83"/>
      <c r="X142" s="83"/>
      <c r="Y142" s="83"/>
      <c r="Z142" s="83"/>
      <c r="AA142" s="83"/>
    </row>
    <row r="143" ht="15.75" customHeight="1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4"/>
      <c r="O143" s="84"/>
      <c r="P143" s="83"/>
      <c r="Q143" s="83"/>
      <c r="R143" s="83"/>
      <c r="S143" s="83"/>
      <c r="T143" s="83"/>
      <c r="U143" s="83"/>
      <c r="V143" s="83"/>
      <c r="W143" s="83"/>
      <c r="X143" s="83"/>
      <c r="Y143" s="83"/>
      <c r="Z143" s="83"/>
      <c r="AA143" s="83"/>
    </row>
    <row r="144" ht="15.75" customHeight="1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3"/>
      <c r="N144" s="84"/>
      <c r="O144" s="84"/>
      <c r="P144" s="83"/>
      <c r="Q144" s="83"/>
      <c r="R144" s="83"/>
      <c r="S144" s="83"/>
      <c r="T144" s="83"/>
      <c r="U144" s="83"/>
      <c r="V144" s="83"/>
      <c r="W144" s="83"/>
      <c r="X144" s="83"/>
      <c r="Y144" s="83"/>
      <c r="Z144" s="83"/>
      <c r="AA144" s="83"/>
    </row>
    <row r="145" ht="15.75" customHeight="1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3"/>
      <c r="N145" s="84"/>
      <c r="O145" s="84"/>
      <c r="P145" s="83"/>
      <c r="Q145" s="83"/>
      <c r="R145" s="83"/>
      <c r="S145" s="83"/>
      <c r="T145" s="83"/>
      <c r="U145" s="83"/>
      <c r="V145" s="83"/>
      <c r="W145" s="83"/>
      <c r="X145" s="83"/>
      <c r="Y145" s="83"/>
      <c r="Z145" s="83"/>
      <c r="AA145" s="83"/>
    </row>
    <row r="146" ht="15.75" customHeight="1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3"/>
      <c r="N146" s="84"/>
      <c r="O146" s="84"/>
      <c r="P146" s="83"/>
      <c r="Q146" s="83"/>
      <c r="R146" s="83"/>
      <c r="S146" s="83"/>
      <c r="T146" s="83"/>
      <c r="U146" s="83"/>
      <c r="V146" s="83"/>
      <c r="W146" s="83"/>
      <c r="X146" s="83"/>
      <c r="Y146" s="83"/>
      <c r="Z146" s="83"/>
      <c r="AA146" s="83"/>
    </row>
    <row r="147" ht="15.75" customHeight="1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3"/>
      <c r="N147" s="84"/>
      <c r="O147" s="84"/>
      <c r="P147" s="83"/>
      <c r="Q147" s="83"/>
      <c r="R147" s="83"/>
      <c r="S147" s="83"/>
      <c r="T147" s="83"/>
      <c r="U147" s="83"/>
      <c r="V147" s="83"/>
      <c r="W147" s="83"/>
      <c r="X147" s="83"/>
      <c r="Y147" s="83"/>
      <c r="Z147" s="83"/>
      <c r="AA147" s="83"/>
    </row>
    <row r="148" ht="15.75" customHeight="1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3"/>
      <c r="N148" s="84"/>
      <c r="O148" s="84"/>
      <c r="P148" s="83"/>
      <c r="Q148" s="83"/>
      <c r="R148" s="83"/>
      <c r="S148" s="83"/>
      <c r="T148" s="83"/>
      <c r="U148" s="83"/>
      <c r="V148" s="83"/>
      <c r="W148" s="83"/>
      <c r="X148" s="83"/>
      <c r="Y148" s="83"/>
      <c r="Z148" s="83"/>
      <c r="AA148" s="83"/>
    </row>
    <row r="149" ht="15.75" customHeight="1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3"/>
      <c r="N149" s="84"/>
      <c r="O149" s="84"/>
      <c r="P149" s="83"/>
      <c r="Q149" s="83"/>
      <c r="R149" s="83"/>
      <c r="S149" s="83"/>
      <c r="T149" s="83"/>
      <c r="U149" s="83"/>
      <c r="V149" s="83"/>
      <c r="W149" s="83"/>
      <c r="X149" s="83"/>
      <c r="Y149" s="83"/>
      <c r="Z149" s="83"/>
      <c r="AA149" s="83"/>
    </row>
    <row r="150" ht="15.75" customHeight="1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N150" s="84"/>
      <c r="O150" s="84"/>
      <c r="P150" s="83"/>
      <c r="Q150" s="83"/>
      <c r="R150" s="83"/>
      <c r="S150" s="83"/>
      <c r="T150" s="83"/>
      <c r="U150" s="83"/>
      <c r="V150" s="83"/>
      <c r="W150" s="83"/>
      <c r="X150" s="83"/>
      <c r="Y150" s="83"/>
      <c r="Z150" s="83"/>
      <c r="AA150" s="83"/>
    </row>
    <row r="151" ht="15.75" customHeight="1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3"/>
      <c r="N151" s="84"/>
      <c r="O151" s="84"/>
      <c r="P151" s="83"/>
      <c r="Q151" s="83"/>
      <c r="R151" s="83"/>
      <c r="S151" s="83"/>
      <c r="T151" s="83"/>
      <c r="U151" s="83"/>
      <c r="V151" s="83"/>
      <c r="W151" s="83"/>
      <c r="X151" s="83"/>
      <c r="Y151" s="83"/>
      <c r="Z151" s="83"/>
      <c r="AA151" s="83"/>
    </row>
    <row r="152" ht="15.75" customHeight="1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3"/>
      <c r="N152" s="84"/>
      <c r="O152" s="84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</row>
    <row r="153" ht="15.75" customHeight="1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3"/>
      <c r="N153" s="84"/>
      <c r="O153" s="84"/>
      <c r="P153" s="83"/>
      <c r="Q153" s="83"/>
      <c r="R153" s="83"/>
      <c r="S153" s="83"/>
      <c r="T153" s="83"/>
      <c r="U153" s="83"/>
      <c r="V153" s="83"/>
      <c r="W153" s="83"/>
      <c r="X153" s="83"/>
      <c r="Y153" s="83"/>
      <c r="Z153" s="83"/>
      <c r="AA153" s="83"/>
    </row>
    <row r="154" ht="15.75" customHeight="1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3"/>
      <c r="N154" s="84"/>
      <c r="O154" s="84"/>
      <c r="P154" s="83"/>
      <c r="Q154" s="83"/>
      <c r="R154" s="83"/>
      <c r="S154" s="83"/>
      <c r="T154" s="83"/>
      <c r="U154" s="83"/>
      <c r="V154" s="83"/>
      <c r="W154" s="83"/>
      <c r="X154" s="83"/>
      <c r="Y154" s="83"/>
      <c r="Z154" s="83"/>
      <c r="AA154" s="83"/>
    </row>
    <row r="155" ht="15.75" customHeight="1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N155" s="84"/>
      <c r="O155" s="84"/>
      <c r="P155" s="83"/>
      <c r="Q155" s="83"/>
      <c r="R155" s="83"/>
      <c r="S155" s="83"/>
      <c r="T155" s="83"/>
      <c r="U155" s="83"/>
      <c r="V155" s="83"/>
      <c r="W155" s="83"/>
      <c r="X155" s="83"/>
      <c r="Y155" s="83"/>
      <c r="Z155" s="83"/>
      <c r="AA155" s="83"/>
    </row>
    <row r="156" ht="15.75" customHeight="1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3"/>
      <c r="N156" s="84"/>
      <c r="O156" s="84"/>
      <c r="P156" s="83"/>
      <c r="Q156" s="83"/>
      <c r="R156" s="83"/>
      <c r="S156" s="83"/>
      <c r="T156" s="83"/>
      <c r="U156" s="83"/>
      <c r="V156" s="83"/>
      <c r="W156" s="83"/>
      <c r="X156" s="83"/>
      <c r="Y156" s="83"/>
      <c r="Z156" s="83"/>
      <c r="AA156" s="83"/>
    </row>
    <row r="157" ht="15.75" customHeight="1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3"/>
      <c r="N157" s="84"/>
      <c r="O157" s="84"/>
      <c r="P157" s="83"/>
      <c r="Q157" s="83"/>
      <c r="R157" s="83"/>
      <c r="S157" s="83"/>
      <c r="T157" s="83"/>
      <c r="U157" s="83"/>
      <c r="V157" s="83"/>
      <c r="W157" s="83"/>
      <c r="X157" s="83"/>
      <c r="Y157" s="83"/>
      <c r="Z157" s="83"/>
      <c r="AA157" s="83"/>
    </row>
    <row r="158" ht="15.75" customHeight="1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3"/>
      <c r="N158" s="84"/>
      <c r="O158" s="84"/>
      <c r="P158" s="83"/>
      <c r="Q158" s="83"/>
      <c r="R158" s="83"/>
      <c r="S158" s="83"/>
      <c r="T158" s="83"/>
      <c r="U158" s="83"/>
      <c r="V158" s="83"/>
      <c r="W158" s="83"/>
      <c r="X158" s="83"/>
      <c r="Y158" s="83"/>
      <c r="Z158" s="83"/>
      <c r="AA158" s="83"/>
    </row>
    <row r="159" ht="15.75" customHeight="1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3"/>
      <c r="N159" s="84"/>
      <c r="O159" s="84"/>
      <c r="P159" s="83"/>
      <c r="Q159" s="83"/>
      <c r="R159" s="83"/>
      <c r="S159" s="83"/>
      <c r="T159" s="83"/>
      <c r="U159" s="83"/>
      <c r="V159" s="83"/>
      <c r="W159" s="83"/>
      <c r="X159" s="83"/>
      <c r="Y159" s="83"/>
      <c r="Z159" s="83"/>
      <c r="AA159" s="83"/>
    </row>
    <row r="160" ht="15.75" customHeight="1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3"/>
      <c r="N160" s="84"/>
      <c r="O160" s="84"/>
      <c r="P160" s="83"/>
      <c r="Q160" s="83"/>
      <c r="R160" s="83"/>
      <c r="S160" s="83"/>
      <c r="T160" s="83"/>
      <c r="U160" s="83"/>
      <c r="V160" s="83"/>
      <c r="W160" s="83"/>
      <c r="X160" s="83"/>
      <c r="Y160" s="83"/>
      <c r="Z160" s="83"/>
      <c r="AA160" s="83"/>
    </row>
    <row r="161" ht="15.75" customHeight="1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3"/>
      <c r="N161" s="84"/>
      <c r="O161" s="84"/>
      <c r="P161" s="83"/>
      <c r="Q161" s="83"/>
      <c r="R161" s="83"/>
      <c r="S161" s="83"/>
      <c r="T161" s="83"/>
      <c r="U161" s="83"/>
      <c r="V161" s="83"/>
      <c r="W161" s="83"/>
      <c r="X161" s="83"/>
      <c r="Y161" s="83"/>
      <c r="Z161" s="83"/>
      <c r="AA161" s="83"/>
    </row>
    <row r="162" ht="15.75" customHeight="1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3"/>
      <c r="N162" s="84"/>
      <c r="O162" s="84"/>
      <c r="P162" s="83"/>
      <c r="Q162" s="83"/>
      <c r="R162" s="83"/>
      <c r="S162" s="83"/>
      <c r="T162" s="83"/>
      <c r="U162" s="83"/>
      <c r="V162" s="83"/>
      <c r="W162" s="83"/>
      <c r="X162" s="83"/>
      <c r="Y162" s="83"/>
      <c r="Z162" s="83"/>
      <c r="AA162" s="83"/>
    </row>
    <row r="163" ht="15.75" customHeight="1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3"/>
      <c r="N163" s="84"/>
      <c r="O163" s="84"/>
      <c r="P163" s="83"/>
      <c r="Q163" s="83"/>
      <c r="R163" s="83"/>
      <c r="S163" s="83"/>
      <c r="T163" s="83"/>
      <c r="U163" s="83"/>
      <c r="V163" s="83"/>
      <c r="W163" s="83"/>
      <c r="X163" s="83"/>
      <c r="Y163" s="83"/>
      <c r="Z163" s="83"/>
      <c r="AA163" s="83"/>
    </row>
    <row r="164" ht="15.75" customHeight="1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3"/>
      <c r="N164" s="84"/>
      <c r="O164" s="84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</row>
    <row r="165" ht="15.75" customHeight="1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3"/>
      <c r="N165" s="84"/>
      <c r="O165" s="84"/>
      <c r="P165" s="83"/>
      <c r="Q165" s="83"/>
      <c r="R165" s="83"/>
      <c r="S165" s="83"/>
      <c r="T165" s="83"/>
      <c r="U165" s="83"/>
      <c r="V165" s="83"/>
      <c r="W165" s="83"/>
      <c r="X165" s="83"/>
      <c r="Y165" s="83"/>
      <c r="Z165" s="83"/>
      <c r="AA165" s="83"/>
    </row>
    <row r="166" ht="15.75" customHeight="1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3"/>
      <c r="N166" s="84"/>
      <c r="O166" s="84"/>
      <c r="P166" s="83"/>
      <c r="Q166" s="83"/>
      <c r="R166" s="83"/>
      <c r="S166" s="83"/>
      <c r="T166" s="83"/>
      <c r="U166" s="83"/>
      <c r="V166" s="83"/>
      <c r="W166" s="83"/>
      <c r="X166" s="83"/>
      <c r="Y166" s="83"/>
      <c r="Z166" s="83"/>
      <c r="AA166" s="83"/>
    </row>
    <row r="167" ht="15.75" customHeight="1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N167" s="84"/>
      <c r="O167" s="84"/>
      <c r="P167" s="83"/>
      <c r="Q167" s="83"/>
      <c r="R167" s="83"/>
      <c r="S167" s="83"/>
      <c r="T167" s="83"/>
      <c r="U167" s="83"/>
      <c r="V167" s="83"/>
      <c r="W167" s="83"/>
      <c r="X167" s="83"/>
      <c r="Y167" s="83"/>
      <c r="Z167" s="83"/>
      <c r="AA167" s="83"/>
    </row>
    <row r="168" ht="15.75" customHeight="1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3"/>
      <c r="N168" s="84"/>
      <c r="O168" s="84"/>
      <c r="P168" s="83"/>
      <c r="Q168" s="83"/>
      <c r="R168" s="83"/>
      <c r="S168" s="83"/>
      <c r="T168" s="83"/>
      <c r="U168" s="83"/>
      <c r="V168" s="83"/>
      <c r="W168" s="83"/>
      <c r="X168" s="83"/>
      <c r="Y168" s="83"/>
      <c r="Z168" s="83"/>
      <c r="AA168" s="83"/>
    </row>
    <row r="169" ht="15.75" customHeight="1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3"/>
      <c r="N169" s="84"/>
      <c r="O169" s="84"/>
      <c r="P169" s="83"/>
      <c r="Q169" s="83"/>
      <c r="R169" s="83"/>
      <c r="S169" s="83"/>
      <c r="T169" s="83"/>
      <c r="U169" s="83"/>
      <c r="V169" s="83"/>
      <c r="W169" s="83"/>
      <c r="X169" s="83"/>
      <c r="Y169" s="83"/>
      <c r="Z169" s="83"/>
      <c r="AA169" s="83"/>
    </row>
    <row r="170" ht="15.75" customHeight="1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3"/>
      <c r="N170" s="84"/>
      <c r="O170" s="84"/>
      <c r="P170" s="83"/>
      <c r="Q170" s="83"/>
      <c r="R170" s="83"/>
      <c r="S170" s="83"/>
      <c r="T170" s="83"/>
      <c r="U170" s="83"/>
      <c r="V170" s="83"/>
      <c r="W170" s="83"/>
      <c r="X170" s="83"/>
      <c r="Y170" s="83"/>
      <c r="Z170" s="83"/>
      <c r="AA170" s="83"/>
    </row>
    <row r="171" ht="15.75" customHeight="1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3"/>
      <c r="N171" s="84"/>
      <c r="O171" s="84"/>
      <c r="P171" s="83"/>
      <c r="Q171" s="83"/>
      <c r="R171" s="83"/>
      <c r="S171" s="83"/>
      <c r="T171" s="83"/>
      <c r="U171" s="83"/>
      <c r="V171" s="83"/>
      <c r="W171" s="83"/>
      <c r="X171" s="83"/>
      <c r="Y171" s="83"/>
      <c r="Z171" s="83"/>
      <c r="AA171" s="83"/>
    </row>
    <row r="172" ht="15.75" customHeight="1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N172" s="84"/>
      <c r="O172" s="84"/>
      <c r="P172" s="83"/>
      <c r="Q172" s="83"/>
      <c r="R172" s="83"/>
      <c r="S172" s="83"/>
      <c r="T172" s="83"/>
      <c r="U172" s="83"/>
      <c r="V172" s="83"/>
      <c r="W172" s="83"/>
      <c r="X172" s="83"/>
      <c r="Y172" s="83"/>
      <c r="Z172" s="83"/>
      <c r="AA172" s="83"/>
    </row>
    <row r="173" ht="15.75" customHeight="1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3"/>
      <c r="N173" s="84"/>
      <c r="O173" s="84"/>
      <c r="P173" s="83"/>
      <c r="Q173" s="83"/>
      <c r="R173" s="83"/>
      <c r="S173" s="83"/>
      <c r="T173" s="83"/>
      <c r="U173" s="83"/>
      <c r="V173" s="83"/>
      <c r="W173" s="83"/>
      <c r="X173" s="83"/>
      <c r="Y173" s="83"/>
      <c r="Z173" s="83"/>
      <c r="AA173" s="83"/>
    </row>
    <row r="174" ht="15.75" customHeight="1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3"/>
      <c r="N174" s="84"/>
      <c r="O174" s="84"/>
      <c r="P174" s="83"/>
      <c r="Q174" s="83"/>
      <c r="R174" s="83"/>
      <c r="S174" s="83"/>
      <c r="T174" s="83"/>
      <c r="U174" s="83"/>
      <c r="V174" s="83"/>
      <c r="W174" s="83"/>
      <c r="X174" s="83"/>
      <c r="Y174" s="83"/>
      <c r="Z174" s="83"/>
      <c r="AA174" s="83"/>
    </row>
    <row r="175" ht="15.75" customHeight="1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3"/>
      <c r="N175" s="84"/>
      <c r="O175" s="84"/>
      <c r="P175" s="83"/>
      <c r="Q175" s="83"/>
      <c r="R175" s="83"/>
      <c r="S175" s="83"/>
      <c r="T175" s="83"/>
      <c r="U175" s="83"/>
      <c r="V175" s="83"/>
      <c r="W175" s="83"/>
      <c r="X175" s="83"/>
      <c r="Y175" s="83"/>
      <c r="Z175" s="83"/>
      <c r="AA175" s="83"/>
    </row>
    <row r="176" ht="15.75" customHeight="1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4"/>
      <c r="O176" s="84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</row>
    <row r="177" ht="15.75" customHeight="1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3"/>
      <c r="N177" s="84"/>
      <c r="O177" s="84"/>
      <c r="P177" s="83"/>
      <c r="Q177" s="83"/>
      <c r="R177" s="83"/>
      <c r="S177" s="83"/>
      <c r="T177" s="83"/>
      <c r="U177" s="83"/>
      <c r="V177" s="83"/>
      <c r="W177" s="83"/>
      <c r="X177" s="83"/>
      <c r="Y177" s="83"/>
      <c r="Z177" s="83"/>
      <c r="AA177" s="83"/>
    </row>
    <row r="178" ht="15.75" customHeight="1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N178" s="84"/>
      <c r="O178" s="84"/>
      <c r="P178" s="83"/>
      <c r="Q178" s="83"/>
      <c r="R178" s="83"/>
      <c r="S178" s="83"/>
      <c r="T178" s="83"/>
      <c r="U178" s="83"/>
      <c r="V178" s="83"/>
      <c r="W178" s="83"/>
      <c r="X178" s="83"/>
      <c r="Y178" s="83"/>
      <c r="Z178" s="83"/>
      <c r="AA178" s="83"/>
    </row>
    <row r="179" ht="15.75" customHeight="1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3"/>
      <c r="N179" s="84"/>
      <c r="O179" s="84"/>
      <c r="P179" s="83"/>
      <c r="Q179" s="83"/>
      <c r="R179" s="83"/>
      <c r="S179" s="83"/>
      <c r="T179" s="83"/>
      <c r="U179" s="83"/>
      <c r="V179" s="83"/>
      <c r="W179" s="83"/>
      <c r="X179" s="83"/>
      <c r="Y179" s="83"/>
      <c r="Z179" s="83"/>
      <c r="AA179" s="83"/>
    </row>
    <row r="180" ht="15.75" customHeight="1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3"/>
      <c r="N180" s="84"/>
      <c r="O180" s="84"/>
      <c r="P180" s="83"/>
      <c r="Q180" s="83"/>
      <c r="R180" s="83"/>
      <c r="S180" s="83"/>
      <c r="T180" s="83"/>
      <c r="U180" s="83"/>
      <c r="V180" s="83"/>
      <c r="W180" s="83"/>
      <c r="X180" s="83"/>
      <c r="Y180" s="83"/>
      <c r="Z180" s="83"/>
      <c r="AA180" s="83"/>
    </row>
    <row r="181" ht="15.75" customHeight="1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3"/>
      <c r="N181" s="84"/>
      <c r="O181" s="84"/>
      <c r="P181" s="83"/>
      <c r="Q181" s="83"/>
      <c r="R181" s="83"/>
      <c r="S181" s="83"/>
      <c r="T181" s="83"/>
      <c r="U181" s="83"/>
      <c r="V181" s="83"/>
      <c r="W181" s="83"/>
      <c r="X181" s="83"/>
      <c r="Y181" s="83"/>
      <c r="Z181" s="83"/>
      <c r="AA181" s="83"/>
    </row>
    <row r="182" ht="15.75" customHeight="1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3"/>
      <c r="N182" s="84"/>
      <c r="O182" s="84"/>
      <c r="P182" s="83"/>
      <c r="Q182" s="83"/>
      <c r="R182" s="83"/>
      <c r="S182" s="83"/>
      <c r="T182" s="83"/>
      <c r="U182" s="83"/>
      <c r="V182" s="83"/>
      <c r="W182" s="83"/>
      <c r="X182" s="83"/>
      <c r="Y182" s="83"/>
      <c r="Z182" s="83"/>
      <c r="AA182" s="83"/>
    </row>
    <row r="183" ht="15.75" customHeight="1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3"/>
      <c r="N183" s="84"/>
      <c r="O183" s="84"/>
      <c r="P183" s="83"/>
      <c r="Q183" s="83"/>
      <c r="R183" s="83"/>
      <c r="S183" s="83"/>
      <c r="T183" s="83"/>
      <c r="U183" s="83"/>
      <c r="V183" s="83"/>
      <c r="W183" s="83"/>
      <c r="X183" s="83"/>
      <c r="Y183" s="83"/>
      <c r="Z183" s="83"/>
      <c r="AA183" s="83"/>
    </row>
    <row r="184" ht="15.75" customHeight="1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3"/>
      <c r="N184" s="84"/>
      <c r="O184" s="84"/>
      <c r="P184" s="83"/>
      <c r="Q184" s="83"/>
      <c r="R184" s="83"/>
      <c r="S184" s="83"/>
      <c r="T184" s="83"/>
      <c r="U184" s="83"/>
      <c r="V184" s="83"/>
      <c r="W184" s="83"/>
      <c r="X184" s="83"/>
      <c r="Y184" s="83"/>
      <c r="Z184" s="83"/>
      <c r="AA184" s="83"/>
    </row>
    <row r="185" ht="15.75" customHeight="1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3"/>
      <c r="N185" s="84"/>
      <c r="O185" s="84"/>
      <c r="P185" s="83"/>
      <c r="Q185" s="83"/>
      <c r="R185" s="83"/>
      <c r="S185" s="83"/>
      <c r="T185" s="83"/>
      <c r="U185" s="83"/>
      <c r="V185" s="83"/>
      <c r="W185" s="83"/>
      <c r="X185" s="83"/>
      <c r="Y185" s="83"/>
      <c r="Z185" s="83"/>
      <c r="AA185" s="83"/>
    </row>
    <row r="186" ht="15.75" customHeight="1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N186" s="84"/>
      <c r="O186" s="84"/>
      <c r="P186" s="83"/>
      <c r="Q186" s="83"/>
      <c r="R186" s="83"/>
      <c r="S186" s="83"/>
      <c r="T186" s="83"/>
      <c r="U186" s="83"/>
      <c r="V186" s="83"/>
      <c r="W186" s="83"/>
      <c r="X186" s="83"/>
      <c r="Y186" s="83"/>
      <c r="Z186" s="83"/>
      <c r="AA186" s="83"/>
    </row>
    <row r="187" ht="15.75" customHeight="1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3"/>
      <c r="N187" s="84"/>
      <c r="O187" s="84"/>
      <c r="P187" s="83"/>
      <c r="Q187" s="83"/>
      <c r="R187" s="83"/>
      <c r="S187" s="83"/>
      <c r="T187" s="83"/>
      <c r="U187" s="83"/>
      <c r="V187" s="83"/>
      <c r="W187" s="83"/>
      <c r="X187" s="83"/>
      <c r="Y187" s="83"/>
      <c r="Z187" s="83"/>
      <c r="AA187" s="83"/>
    </row>
    <row r="188" ht="15.75" customHeight="1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3"/>
      <c r="N188" s="84"/>
      <c r="O188" s="84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</row>
    <row r="189" ht="15.75" customHeight="1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3"/>
      <c r="N189" s="84"/>
      <c r="O189" s="84"/>
      <c r="P189" s="83"/>
      <c r="Q189" s="83"/>
      <c r="R189" s="83"/>
      <c r="S189" s="83"/>
      <c r="T189" s="83"/>
      <c r="U189" s="83"/>
      <c r="V189" s="83"/>
      <c r="W189" s="83"/>
      <c r="X189" s="83"/>
      <c r="Y189" s="83"/>
      <c r="Z189" s="83"/>
      <c r="AA189" s="83"/>
    </row>
    <row r="190" ht="15.75" customHeight="1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3"/>
      <c r="N190" s="84"/>
      <c r="O190" s="84"/>
      <c r="P190" s="83"/>
      <c r="Q190" s="83"/>
      <c r="R190" s="83"/>
      <c r="S190" s="83"/>
      <c r="T190" s="83"/>
      <c r="U190" s="83"/>
      <c r="V190" s="83"/>
      <c r="W190" s="83"/>
      <c r="X190" s="83"/>
      <c r="Y190" s="83"/>
      <c r="Z190" s="83"/>
      <c r="AA190" s="83"/>
    </row>
    <row r="191" ht="15.75" customHeight="1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3"/>
      <c r="N191" s="84"/>
      <c r="O191" s="84"/>
      <c r="P191" s="83"/>
      <c r="Q191" s="83"/>
      <c r="R191" s="83"/>
      <c r="S191" s="83"/>
      <c r="T191" s="83"/>
      <c r="U191" s="83"/>
      <c r="V191" s="83"/>
      <c r="W191" s="83"/>
      <c r="X191" s="83"/>
      <c r="Y191" s="83"/>
      <c r="Z191" s="83"/>
      <c r="AA191" s="83"/>
    </row>
    <row r="192" ht="15.75" customHeight="1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3"/>
      <c r="N192" s="84"/>
      <c r="O192" s="84"/>
      <c r="P192" s="83"/>
      <c r="Q192" s="83"/>
      <c r="R192" s="83"/>
      <c r="S192" s="83"/>
      <c r="T192" s="83"/>
      <c r="U192" s="83"/>
      <c r="V192" s="83"/>
      <c r="W192" s="83"/>
      <c r="X192" s="83"/>
      <c r="Y192" s="83"/>
      <c r="Z192" s="83"/>
      <c r="AA192" s="83"/>
    </row>
    <row r="193" ht="15.75" customHeight="1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3"/>
      <c r="N193" s="84"/>
      <c r="O193" s="84"/>
      <c r="P193" s="83"/>
      <c r="Q193" s="83"/>
      <c r="R193" s="83"/>
      <c r="S193" s="83"/>
      <c r="T193" s="83"/>
      <c r="U193" s="83"/>
      <c r="V193" s="83"/>
      <c r="W193" s="83"/>
      <c r="X193" s="83"/>
      <c r="Y193" s="83"/>
      <c r="Z193" s="83"/>
      <c r="AA193" s="83"/>
    </row>
    <row r="194" ht="15.75" customHeight="1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3"/>
      <c r="N194" s="84"/>
      <c r="O194" s="84"/>
      <c r="P194" s="83"/>
      <c r="Q194" s="83"/>
      <c r="R194" s="83"/>
      <c r="S194" s="83"/>
      <c r="T194" s="83"/>
      <c r="U194" s="83"/>
      <c r="V194" s="83"/>
      <c r="W194" s="83"/>
      <c r="X194" s="83"/>
      <c r="Y194" s="83"/>
      <c r="Z194" s="83"/>
      <c r="AA194" s="83"/>
    </row>
    <row r="195" ht="15.75" customHeight="1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3"/>
      <c r="N195" s="84"/>
      <c r="O195" s="84"/>
      <c r="P195" s="83"/>
      <c r="Q195" s="83"/>
      <c r="R195" s="83"/>
      <c r="S195" s="83"/>
      <c r="T195" s="83"/>
      <c r="U195" s="83"/>
      <c r="V195" s="83"/>
      <c r="W195" s="83"/>
      <c r="X195" s="83"/>
      <c r="Y195" s="83"/>
      <c r="Z195" s="83"/>
      <c r="AA195" s="83"/>
    </row>
    <row r="196" ht="15.75" customHeight="1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3"/>
      <c r="N196" s="84"/>
      <c r="O196" s="84"/>
      <c r="P196" s="83"/>
      <c r="Q196" s="83"/>
      <c r="R196" s="83"/>
      <c r="S196" s="83"/>
      <c r="T196" s="83"/>
      <c r="U196" s="83"/>
      <c r="V196" s="83"/>
      <c r="W196" s="83"/>
      <c r="X196" s="83"/>
      <c r="Y196" s="83"/>
      <c r="Z196" s="83"/>
      <c r="AA196" s="83"/>
    </row>
    <row r="197" ht="15.75" customHeight="1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N197" s="84"/>
      <c r="O197" s="84"/>
      <c r="P197" s="83"/>
      <c r="Q197" s="83"/>
      <c r="R197" s="83"/>
      <c r="S197" s="83"/>
      <c r="T197" s="83"/>
      <c r="U197" s="83"/>
      <c r="V197" s="83"/>
      <c r="W197" s="83"/>
      <c r="X197" s="83"/>
      <c r="Y197" s="83"/>
      <c r="Z197" s="83"/>
      <c r="AA197" s="83"/>
    </row>
    <row r="198" ht="15.75" customHeight="1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3"/>
      <c r="N198" s="84"/>
      <c r="O198" s="84"/>
      <c r="P198" s="83"/>
      <c r="Q198" s="83"/>
      <c r="R198" s="83"/>
      <c r="S198" s="83"/>
      <c r="T198" s="83"/>
      <c r="U198" s="83"/>
      <c r="V198" s="83"/>
      <c r="W198" s="83"/>
      <c r="X198" s="83"/>
      <c r="Y198" s="83"/>
      <c r="Z198" s="83"/>
      <c r="AA198" s="83"/>
    </row>
    <row r="199" ht="15.75" customHeight="1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N199" s="84"/>
      <c r="O199" s="84"/>
      <c r="P199" s="83"/>
      <c r="Q199" s="83"/>
      <c r="R199" s="83"/>
      <c r="S199" s="83"/>
      <c r="T199" s="83"/>
      <c r="U199" s="83"/>
      <c r="V199" s="83"/>
      <c r="W199" s="83"/>
      <c r="X199" s="83"/>
      <c r="Y199" s="83"/>
      <c r="Z199" s="83"/>
      <c r="AA199" s="83"/>
    </row>
    <row r="200" ht="15.75" customHeight="1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3"/>
      <c r="N200" s="84"/>
      <c r="O200" s="84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</row>
    <row r="201" ht="15.75" customHeight="1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3"/>
      <c r="N201" s="84"/>
      <c r="O201" s="84"/>
      <c r="P201" s="83"/>
      <c r="Q201" s="83"/>
      <c r="R201" s="83"/>
      <c r="S201" s="83"/>
      <c r="T201" s="83"/>
      <c r="U201" s="83"/>
      <c r="V201" s="83"/>
      <c r="W201" s="83"/>
      <c r="X201" s="83"/>
      <c r="Y201" s="83"/>
      <c r="Z201" s="83"/>
      <c r="AA201" s="83"/>
    </row>
    <row r="202" ht="15.75" customHeight="1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3"/>
      <c r="N202" s="84"/>
      <c r="O202" s="84"/>
      <c r="P202" s="83"/>
      <c r="Q202" s="83"/>
      <c r="R202" s="83"/>
      <c r="S202" s="83"/>
      <c r="T202" s="83"/>
      <c r="U202" s="83"/>
      <c r="V202" s="83"/>
      <c r="W202" s="83"/>
      <c r="X202" s="83"/>
      <c r="Y202" s="83"/>
      <c r="Z202" s="83"/>
      <c r="AA202" s="83"/>
    </row>
    <row r="203" ht="15.75" customHeight="1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3"/>
      <c r="N203" s="84"/>
      <c r="O203" s="84"/>
      <c r="P203" s="83"/>
      <c r="Q203" s="83"/>
      <c r="R203" s="83"/>
      <c r="S203" s="83"/>
      <c r="T203" s="83"/>
      <c r="U203" s="83"/>
      <c r="V203" s="83"/>
      <c r="W203" s="83"/>
      <c r="X203" s="83"/>
      <c r="Y203" s="83"/>
      <c r="Z203" s="83"/>
      <c r="AA203" s="83"/>
    </row>
    <row r="204" ht="15.75" customHeight="1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3"/>
      <c r="N204" s="84"/>
      <c r="O204" s="84"/>
      <c r="P204" s="83"/>
      <c r="Q204" s="83"/>
      <c r="R204" s="83"/>
      <c r="S204" s="83"/>
      <c r="T204" s="83"/>
      <c r="U204" s="83"/>
      <c r="V204" s="83"/>
      <c r="W204" s="83"/>
      <c r="X204" s="83"/>
      <c r="Y204" s="83"/>
      <c r="Z204" s="83"/>
      <c r="AA204" s="83"/>
    </row>
    <row r="205" ht="15.75" customHeight="1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3"/>
      <c r="N205" s="84"/>
      <c r="O205" s="84"/>
      <c r="P205" s="83"/>
      <c r="Q205" s="83"/>
      <c r="R205" s="83"/>
      <c r="S205" s="83"/>
      <c r="T205" s="83"/>
      <c r="U205" s="83"/>
      <c r="V205" s="83"/>
      <c r="W205" s="83"/>
      <c r="X205" s="83"/>
      <c r="Y205" s="83"/>
      <c r="Z205" s="83"/>
      <c r="AA205" s="83"/>
    </row>
    <row r="206" ht="15.75" customHeight="1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N206" s="84"/>
      <c r="O206" s="84"/>
      <c r="P206" s="83"/>
      <c r="Q206" s="83"/>
      <c r="R206" s="83"/>
      <c r="S206" s="83"/>
      <c r="T206" s="83"/>
      <c r="U206" s="83"/>
      <c r="V206" s="83"/>
      <c r="W206" s="83"/>
      <c r="X206" s="83"/>
      <c r="Y206" s="83"/>
      <c r="Z206" s="83"/>
      <c r="AA206" s="83"/>
    </row>
    <row r="207" ht="15.75" customHeight="1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3"/>
      <c r="N207" s="84"/>
      <c r="O207" s="84"/>
      <c r="P207" s="83"/>
      <c r="Q207" s="83"/>
      <c r="R207" s="83"/>
      <c r="S207" s="83"/>
      <c r="T207" s="83"/>
      <c r="U207" s="83"/>
      <c r="V207" s="83"/>
      <c r="W207" s="83"/>
      <c r="X207" s="83"/>
      <c r="Y207" s="83"/>
      <c r="Z207" s="83"/>
      <c r="AA207" s="83"/>
    </row>
    <row r="208" ht="15.75" customHeight="1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3"/>
      <c r="N208" s="84"/>
      <c r="O208" s="84"/>
      <c r="P208" s="83"/>
      <c r="Q208" s="83"/>
      <c r="R208" s="83"/>
      <c r="S208" s="83"/>
      <c r="T208" s="83"/>
      <c r="U208" s="83"/>
      <c r="V208" s="83"/>
      <c r="W208" s="83"/>
      <c r="X208" s="83"/>
      <c r="Y208" s="83"/>
      <c r="Z208" s="83"/>
      <c r="AA208" s="83"/>
    </row>
    <row r="209" ht="15.75" customHeight="1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4"/>
      <c r="O209" s="84"/>
      <c r="P209" s="83"/>
      <c r="Q209" s="83"/>
      <c r="R209" s="83"/>
      <c r="S209" s="83"/>
      <c r="T209" s="83"/>
      <c r="U209" s="83"/>
      <c r="V209" s="83"/>
      <c r="W209" s="83"/>
      <c r="X209" s="83"/>
      <c r="Y209" s="83"/>
      <c r="Z209" s="83"/>
      <c r="AA209" s="83"/>
    </row>
    <row r="210" ht="15.75" customHeight="1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3"/>
      <c r="N210" s="84"/>
      <c r="O210" s="84"/>
      <c r="P210" s="83"/>
      <c r="Q210" s="83"/>
      <c r="R210" s="83"/>
      <c r="S210" s="83"/>
      <c r="T210" s="83"/>
      <c r="U210" s="83"/>
      <c r="V210" s="83"/>
      <c r="W210" s="83"/>
      <c r="X210" s="83"/>
      <c r="Y210" s="83"/>
      <c r="Z210" s="83"/>
      <c r="AA210" s="83"/>
    </row>
    <row r="211" ht="15.75" customHeight="1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3"/>
      <c r="N211" s="84"/>
      <c r="O211" s="84"/>
      <c r="P211" s="83"/>
      <c r="Q211" s="83"/>
      <c r="R211" s="83"/>
      <c r="S211" s="83"/>
      <c r="T211" s="83"/>
      <c r="U211" s="83"/>
      <c r="V211" s="83"/>
      <c r="W211" s="83"/>
      <c r="X211" s="83"/>
      <c r="Y211" s="83"/>
      <c r="Z211" s="83"/>
      <c r="AA211" s="83"/>
    </row>
    <row r="212" ht="15.75" customHeight="1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3"/>
      <c r="N212" s="84"/>
      <c r="O212" s="84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</row>
    <row r="213" ht="15.75" customHeight="1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3"/>
      <c r="N213" s="84"/>
      <c r="O213" s="84"/>
      <c r="P213" s="83"/>
      <c r="Q213" s="83"/>
      <c r="R213" s="83"/>
      <c r="S213" s="83"/>
      <c r="T213" s="83"/>
      <c r="U213" s="83"/>
      <c r="V213" s="83"/>
      <c r="W213" s="83"/>
      <c r="X213" s="83"/>
      <c r="Y213" s="83"/>
      <c r="Z213" s="83"/>
      <c r="AA213" s="83"/>
    </row>
    <row r="214" ht="15.75" customHeight="1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3"/>
      <c r="N214" s="84"/>
      <c r="O214" s="84"/>
      <c r="P214" s="83"/>
      <c r="Q214" s="83"/>
      <c r="R214" s="83"/>
      <c r="S214" s="83"/>
      <c r="T214" s="83"/>
      <c r="U214" s="83"/>
      <c r="V214" s="83"/>
      <c r="W214" s="83"/>
      <c r="X214" s="83"/>
      <c r="Y214" s="83"/>
      <c r="Z214" s="83"/>
      <c r="AA214" s="83"/>
    </row>
    <row r="215" ht="15.75" customHeight="1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3"/>
      <c r="N215" s="84"/>
      <c r="O215" s="84"/>
      <c r="P215" s="83"/>
      <c r="Q215" s="83"/>
      <c r="R215" s="83"/>
      <c r="S215" s="83"/>
      <c r="T215" s="83"/>
      <c r="U215" s="83"/>
      <c r="V215" s="83"/>
      <c r="W215" s="83"/>
      <c r="X215" s="83"/>
      <c r="Y215" s="83"/>
      <c r="Z215" s="83"/>
      <c r="AA215" s="83"/>
    </row>
    <row r="216" ht="15.75" customHeight="1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3"/>
      <c r="N216" s="84"/>
      <c r="O216" s="84"/>
      <c r="P216" s="83"/>
      <c r="Q216" s="83"/>
      <c r="R216" s="83"/>
      <c r="S216" s="83"/>
      <c r="T216" s="83"/>
      <c r="U216" s="83"/>
      <c r="V216" s="83"/>
      <c r="W216" s="83"/>
      <c r="X216" s="83"/>
      <c r="Y216" s="83"/>
      <c r="Z216" s="83"/>
      <c r="AA216" s="83"/>
    </row>
    <row r="217" ht="15.75" customHeight="1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3"/>
      <c r="N217" s="84"/>
      <c r="O217" s="84"/>
      <c r="P217" s="83"/>
      <c r="Q217" s="83"/>
      <c r="R217" s="83"/>
      <c r="S217" s="83"/>
      <c r="T217" s="83"/>
      <c r="U217" s="83"/>
      <c r="V217" s="83"/>
      <c r="W217" s="83"/>
      <c r="X217" s="83"/>
      <c r="Y217" s="83"/>
      <c r="Z217" s="83"/>
      <c r="AA217" s="83"/>
    </row>
    <row r="218" ht="15.75" customHeight="1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3"/>
      <c r="N218" s="84"/>
      <c r="O218" s="84"/>
      <c r="P218" s="83"/>
      <c r="Q218" s="83"/>
      <c r="R218" s="83"/>
      <c r="S218" s="83"/>
      <c r="T218" s="83"/>
      <c r="U218" s="83"/>
      <c r="V218" s="83"/>
      <c r="W218" s="83"/>
      <c r="X218" s="83"/>
      <c r="Y218" s="83"/>
      <c r="Z218" s="83"/>
      <c r="AA218" s="83"/>
    </row>
    <row r="219" ht="15.75" customHeight="1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3"/>
      <c r="N219" s="84"/>
      <c r="O219" s="84"/>
      <c r="P219" s="83"/>
      <c r="Q219" s="83"/>
      <c r="R219" s="83"/>
      <c r="S219" s="83"/>
      <c r="T219" s="83"/>
      <c r="U219" s="83"/>
      <c r="V219" s="83"/>
      <c r="W219" s="83"/>
      <c r="X219" s="83"/>
      <c r="Y219" s="83"/>
      <c r="Z219" s="83"/>
      <c r="AA219" s="83"/>
    </row>
    <row r="220" ht="15.75" customHeight="1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N220" s="84"/>
      <c r="O220" s="84"/>
      <c r="P220" s="83"/>
      <c r="Q220" s="83"/>
      <c r="R220" s="83"/>
      <c r="S220" s="83"/>
      <c r="T220" s="83"/>
      <c r="U220" s="83"/>
      <c r="V220" s="83"/>
      <c r="W220" s="83"/>
      <c r="X220" s="83"/>
      <c r="Y220" s="83"/>
      <c r="Z220" s="83"/>
      <c r="AA220" s="83"/>
    </row>
    <row r="221" ht="15.75" customHeight="1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3"/>
      <c r="N221" s="84"/>
      <c r="O221" s="84"/>
      <c r="P221" s="83"/>
      <c r="Q221" s="83"/>
      <c r="R221" s="83"/>
      <c r="S221" s="83"/>
      <c r="T221" s="83"/>
      <c r="U221" s="83"/>
      <c r="V221" s="83"/>
      <c r="W221" s="83"/>
      <c r="X221" s="83"/>
      <c r="Y221" s="83"/>
      <c r="Z221" s="83"/>
      <c r="AA221" s="83"/>
    </row>
    <row r="222" ht="15.75" customHeight="1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3"/>
      <c r="N222" s="84"/>
      <c r="O222" s="84"/>
      <c r="P222" s="83"/>
      <c r="Q222" s="83"/>
      <c r="R222" s="83"/>
      <c r="S222" s="83"/>
      <c r="T222" s="83"/>
      <c r="U222" s="83"/>
      <c r="V222" s="83"/>
      <c r="W222" s="83"/>
      <c r="X222" s="83"/>
      <c r="Y222" s="83"/>
      <c r="Z222" s="83"/>
      <c r="AA222" s="83"/>
    </row>
    <row r="223" ht="15.75" customHeight="1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3"/>
      <c r="N223" s="84"/>
      <c r="O223" s="84"/>
      <c r="P223" s="83"/>
      <c r="Q223" s="83"/>
      <c r="R223" s="83"/>
      <c r="S223" s="83"/>
      <c r="T223" s="83"/>
      <c r="U223" s="83"/>
      <c r="V223" s="83"/>
      <c r="W223" s="83"/>
      <c r="X223" s="83"/>
      <c r="Y223" s="83"/>
      <c r="Z223" s="83"/>
      <c r="AA223" s="83"/>
    </row>
    <row r="224" ht="15.75" customHeight="1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3"/>
      <c r="N224" s="84"/>
      <c r="O224" s="84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</row>
    <row r="225" ht="15.75" customHeight="1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3"/>
      <c r="N225" s="84"/>
      <c r="O225" s="84"/>
      <c r="P225" s="83"/>
      <c r="Q225" s="83"/>
      <c r="R225" s="83"/>
      <c r="S225" s="83"/>
      <c r="T225" s="83"/>
      <c r="U225" s="83"/>
      <c r="V225" s="83"/>
      <c r="W225" s="83"/>
      <c r="X225" s="83"/>
      <c r="Y225" s="83"/>
      <c r="Z225" s="83"/>
      <c r="AA225" s="83"/>
    </row>
    <row r="226" ht="15.75" customHeight="1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3"/>
      <c r="N226" s="84"/>
      <c r="O226" s="84"/>
      <c r="P226" s="83"/>
      <c r="Q226" s="83"/>
      <c r="R226" s="83"/>
      <c r="S226" s="83"/>
      <c r="T226" s="83"/>
      <c r="U226" s="83"/>
      <c r="V226" s="83"/>
      <c r="W226" s="83"/>
      <c r="X226" s="83"/>
      <c r="Y226" s="83"/>
      <c r="Z226" s="83"/>
      <c r="AA226" s="83"/>
    </row>
    <row r="227" ht="15.75" customHeight="1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3"/>
      <c r="N227" s="84"/>
      <c r="O227" s="84"/>
      <c r="P227" s="83"/>
      <c r="Q227" s="83"/>
      <c r="R227" s="83"/>
      <c r="S227" s="83"/>
      <c r="T227" s="83"/>
      <c r="U227" s="83"/>
      <c r="V227" s="83"/>
      <c r="W227" s="83"/>
      <c r="X227" s="83"/>
      <c r="Y227" s="83"/>
      <c r="Z227" s="83"/>
      <c r="AA227" s="83"/>
    </row>
    <row r="228" ht="15.75" customHeight="1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3"/>
      <c r="N228" s="84"/>
      <c r="O228" s="84"/>
      <c r="P228" s="83"/>
      <c r="Q228" s="83"/>
      <c r="R228" s="83"/>
      <c r="S228" s="83"/>
      <c r="T228" s="83"/>
      <c r="U228" s="83"/>
      <c r="V228" s="83"/>
      <c r="W228" s="83"/>
      <c r="X228" s="83"/>
      <c r="Y228" s="83"/>
      <c r="Z228" s="83"/>
      <c r="AA228" s="83"/>
    </row>
    <row r="229" ht="15.75" customHeight="1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3"/>
      <c r="N229" s="84"/>
      <c r="O229" s="84"/>
      <c r="P229" s="83"/>
      <c r="Q229" s="83"/>
      <c r="R229" s="83"/>
      <c r="S229" s="83"/>
      <c r="T229" s="83"/>
      <c r="U229" s="83"/>
      <c r="V229" s="83"/>
      <c r="W229" s="83"/>
      <c r="X229" s="83"/>
      <c r="Y229" s="83"/>
      <c r="Z229" s="83"/>
      <c r="AA229" s="83"/>
    </row>
    <row r="230" ht="15.75" customHeight="1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3"/>
      <c r="N230" s="84"/>
      <c r="O230" s="84"/>
      <c r="P230" s="83"/>
      <c r="Q230" s="83"/>
      <c r="R230" s="83"/>
      <c r="S230" s="83"/>
      <c r="T230" s="83"/>
      <c r="U230" s="83"/>
      <c r="V230" s="83"/>
      <c r="W230" s="83"/>
      <c r="X230" s="83"/>
      <c r="Y230" s="83"/>
      <c r="Z230" s="83"/>
      <c r="AA230" s="83"/>
    </row>
    <row r="231" ht="15.75" customHeight="1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3"/>
      <c r="N231" s="84"/>
      <c r="O231" s="84"/>
      <c r="P231" s="83"/>
      <c r="Q231" s="83"/>
      <c r="R231" s="83"/>
      <c r="S231" s="83"/>
      <c r="T231" s="83"/>
      <c r="U231" s="83"/>
      <c r="V231" s="83"/>
      <c r="W231" s="83"/>
      <c r="X231" s="83"/>
      <c r="Y231" s="83"/>
      <c r="Z231" s="83"/>
      <c r="AA231" s="83"/>
    </row>
    <row r="232" ht="15.75" customHeight="1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3"/>
      <c r="N232" s="84"/>
      <c r="O232" s="84"/>
      <c r="P232" s="83"/>
      <c r="Q232" s="83"/>
      <c r="R232" s="83"/>
      <c r="S232" s="83"/>
      <c r="T232" s="83"/>
      <c r="U232" s="83"/>
      <c r="V232" s="83"/>
      <c r="W232" s="83"/>
      <c r="X232" s="83"/>
      <c r="Y232" s="83"/>
      <c r="Z232" s="83"/>
      <c r="AA232" s="83"/>
    </row>
    <row r="233" ht="15.75" customHeight="1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3"/>
      <c r="N233" s="84"/>
      <c r="O233" s="84"/>
      <c r="P233" s="83"/>
      <c r="Q233" s="83"/>
      <c r="R233" s="83"/>
      <c r="S233" s="83"/>
      <c r="T233" s="83"/>
      <c r="U233" s="83"/>
      <c r="V233" s="83"/>
      <c r="W233" s="83"/>
      <c r="X233" s="83"/>
      <c r="Y233" s="83"/>
      <c r="Z233" s="83"/>
      <c r="AA233" s="83"/>
    </row>
    <row r="234" ht="15.75" customHeight="1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3"/>
      <c r="N234" s="84"/>
      <c r="O234" s="84"/>
      <c r="P234" s="83"/>
      <c r="Q234" s="83"/>
      <c r="R234" s="83"/>
      <c r="S234" s="83"/>
      <c r="T234" s="83"/>
      <c r="U234" s="83"/>
      <c r="V234" s="83"/>
      <c r="W234" s="83"/>
      <c r="X234" s="83"/>
      <c r="Y234" s="83"/>
      <c r="Z234" s="83"/>
      <c r="AA234" s="83"/>
    </row>
    <row r="235" ht="15.75" customHeight="1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3"/>
      <c r="N235" s="84"/>
      <c r="O235" s="84"/>
      <c r="P235" s="83"/>
      <c r="Q235" s="83"/>
      <c r="R235" s="83"/>
      <c r="S235" s="83"/>
      <c r="T235" s="83"/>
      <c r="U235" s="83"/>
      <c r="V235" s="83"/>
      <c r="W235" s="83"/>
      <c r="X235" s="83"/>
      <c r="Y235" s="83"/>
      <c r="Z235" s="83"/>
      <c r="AA235" s="83"/>
    </row>
    <row r="236" ht="15.75" customHeight="1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3"/>
      <c r="N236" s="84"/>
      <c r="O236" s="84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</row>
    <row r="237" ht="15.75" customHeight="1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3"/>
      <c r="N237" s="84"/>
      <c r="O237" s="84"/>
      <c r="P237" s="83"/>
      <c r="Q237" s="83"/>
      <c r="R237" s="83"/>
      <c r="S237" s="83"/>
      <c r="T237" s="83"/>
      <c r="U237" s="83"/>
      <c r="V237" s="83"/>
      <c r="W237" s="83"/>
      <c r="X237" s="83"/>
      <c r="Y237" s="83"/>
      <c r="Z237" s="83"/>
      <c r="AA237" s="83"/>
    </row>
    <row r="238" ht="15.75" customHeight="1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3"/>
      <c r="N238" s="84"/>
      <c r="O238" s="84"/>
      <c r="P238" s="83"/>
      <c r="Q238" s="83"/>
      <c r="R238" s="83"/>
      <c r="S238" s="83"/>
      <c r="T238" s="83"/>
      <c r="U238" s="83"/>
      <c r="V238" s="83"/>
      <c r="W238" s="83"/>
      <c r="X238" s="83"/>
      <c r="Y238" s="83"/>
      <c r="Z238" s="83"/>
      <c r="AA238" s="83"/>
    </row>
    <row r="239" ht="15.75" customHeight="1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3"/>
      <c r="N239" s="84"/>
      <c r="O239" s="84"/>
      <c r="P239" s="83"/>
      <c r="Q239" s="83"/>
      <c r="R239" s="83"/>
      <c r="S239" s="83"/>
      <c r="T239" s="83"/>
      <c r="U239" s="83"/>
      <c r="V239" s="83"/>
      <c r="W239" s="83"/>
      <c r="X239" s="83"/>
      <c r="Y239" s="83"/>
      <c r="Z239" s="83"/>
      <c r="AA239" s="83"/>
    </row>
    <row r="240" ht="15.75" customHeight="1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3"/>
      <c r="N240" s="84"/>
      <c r="O240" s="84"/>
      <c r="P240" s="83"/>
      <c r="Q240" s="83"/>
      <c r="R240" s="83"/>
      <c r="S240" s="83"/>
      <c r="T240" s="83"/>
      <c r="U240" s="83"/>
      <c r="V240" s="83"/>
      <c r="W240" s="83"/>
      <c r="X240" s="83"/>
      <c r="Y240" s="83"/>
      <c r="Z240" s="83"/>
      <c r="AA240" s="83"/>
    </row>
    <row r="241" ht="15.75" customHeight="1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3"/>
      <c r="N241" s="84"/>
      <c r="O241" s="84"/>
      <c r="P241" s="83"/>
      <c r="Q241" s="83"/>
      <c r="R241" s="83"/>
      <c r="S241" s="83"/>
      <c r="T241" s="83"/>
      <c r="U241" s="83"/>
      <c r="V241" s="83"/>
      <c r="W241" s="83"/>
      <c r="X241" s="83"/>
      <c r="Y241" s="83"/>
      <c r="Z241" s="83"/>
      <c r="AA241" s="83"/>
    </row>
    <row r="242" ht="15.75" customHeight="1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3"/>
      <c r="N242" s="84"/>
      <c r="O242" s="84"/>
      <c r="P242" s="83"/>
      <c r="Q242" s="83"/>
      <c r="R242" s="83"/>
      <c r="S242" s="83"/>
      <c r="T242" s="83"/>
      <c r="U242" s="83"/>
      <c r="V242" s="83"/>
      <c r="W242" s="83"/>
      <c r="X242" s="83"/>
      <c r="Y242" s="83"/>
      <c r="Z242" s="83"/>
      <c r="AA242" s="83"/>
    </row>
    <row r="243" ht="15.75" customHeight="1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3"/>
      <c r="N243" s="84"/>
      <c r="O243" s="84"/>
      <c r="P243" s="83"/>
      <c r="Q243" s="83"/>
      <c r="R243" s="83"/>
      <c r="S243" s="83"/>
      <c r="T243" s="83"/>
      <c r="U243" s="83"/>
      <c r="V243" s="83"/>
      <c r="W243" s="83"/>
      <c r="X243" s="83"/>
      <c r="Y243" s="83"/>
      <c r="Z243" s="83"/>
      <c r="AA243" s="83"/>
    </row>
    <row r="244" ht="15.75" customHeight="1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3"/>
      <c r="N244" s="84"/>
      <c r="O244" s="84"/>
      <c r="P244" s="83"/>
      <c r="Q244" s="83"/>
      <c r="R244" s="83"/>
      <c r="S244" s="83"/>
      <c r="T244" s="83"/>
      <c r="U244" s="83"/>
      <c r="V244" s="83"/>
      <c r="W244" s="83"/>
      <c r="X244" s="83"/>
      <c r="Y244" s="83"/>
      <c r="Z244" s="83"/>
      <c r="AA244" s="83"/>
    </row>
    <row r="245" ht="15.75" customHeight="1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4"/>
      <c r="O245" s="84"/>
      <c r="P245" s="83"/>
      <c r="Q245" s="83"/>
      <c r="R245" s="83"/>
      <c r="S245" s="83"/>
      <c r="T245" s="83"/>
      <c r="U245" s="83"/>
      <c r="V245" s="83"/>
      <c r="W245" s="83"/>
      <c r="X245" s="83"/>
      <c r="Y245" s="83"/>
      <c r="Z245" s="83"/>
      <c r="AA245" s="83"/>
    </row>
    <row r="246" ht="15.75" customHeight="1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3"/>
      <c r="N246" s="84"/>
      <c r="O246" s="84"/>
      <c r="P246" s="83"/>
      <c r="Q246" s="83"/>
      <c r="R246" s="83"/>
      <c r="S246" s="83"/>
      <c r="T246" s="83"/>
      <c r="U246" s="83"/>
      <c r="V246" s="83"/>
      <c r="W246" s="83"/>
      <c r="X246" s="83"/>
      <c r="Y246" s="83"/>
      <c r="Z246" s="83"/>
      <c r="AA246" s="83"/>
    </row>
    <row r="247" ht="15.75" customHeight="1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3"/>
      <c r="N247" s="84"/>
      <c r="O247" s="84"/>
      <c r="P247" s="83"/>
      <c r="Q247" s="83"/>
      <c r="R247" s="83"/>
      <c r="S247" s="83"/>
      <c r="T247" s="83"/>
      <c r="U247" s="83"/>
      <c r="V247" s="83"/>
      <c r="W247" s="83"/>
      <c r="X247" s="83"/>
      <c r="Y247" s="83"/>
      <c r="Z247" s="83"/>
      <c r="AA247" s="83"/>
    </row>
    <row r="248" ht="15.75" customHeight="1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3"/>
      <c r="N248" s="84"/>
      <c r="O248" s="84"/>
      <c r="P248" s="83"/>
      <c r="Q248" s="83"/>
      <c r="R248" s="83"/>
      <c r="S248" s="83"/>
      <c r="T248" s="83"/>
      <c r="U248" s="83"/>
      <c r="V248" s="83"/>
      <c r="W248" s="83"/>
      <c r="X248" s="83"/>
      <c r="Y248" s="83"/>
      <c r="Z248" s="83"/>
      <c r="AA248" s="83"/>
    </row>
    <row r="249" ht="15.75" customHeight="1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3"/>
      <c r="N249" s="84"/>
      <c r="O249" s="84"/>
      <c r="P249" s="83"/>
      <c r="Q249" s="83"/>
      <c r="R249" s="83"/>
      <c r="S249" s="83"/>
      <c r="T249" s="83"/>
      <c r="U249" s="83"/>
      <c r="V249" s="83"/>
      <c r="W249" s="83"/>
      <c r="X249" s="83"/>
      <c r="Y249" s="83"/>
      <c r="Z249" s="83"/>
      <c r="AA249" s="83"/>
    </row>
    <row r="250" ht="15.75" customHeight="1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3"/>
      <c r="N250" s="84"/>
      <c r="O250" s="84"/>
      <c r="P250" s="83"/>
      <c r="Q250" s="83"/>
      <c r="R250" s="83"/>
      <c r="S250" s="83"/>
      <c r="T250" s="83"/>
      <c r="U250" s="83"/>
      <c r="V250" s="83"/>
      <c r="W250" s="83"/>
      <c r="X250" s="83"/>
      <c r="Y250" s="83"/>
      <c r="Z250" s="83"/>
      <c r="AA250" s="83"/>
    </row>
    <row r="251" ht="15.75" customHeight="1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3"/>
      <c r="N251" s="84"/>
      <c r="O251" s="84"/>
      <c r="P251" s="83"/>
      <c r="Q251" s="83"/>
      <c r="R251" s="83"/>
      <c r="S251" s="83"/>
      <c r="T251" s="83"/>
      <c r="U251" s="83"/>
      <c r="V251" s="83"/>
      <c r="W251" s="83"/>
      <c r="X251" s="83"/>
      <c r="Y251" s="83"/>
      <c r="Z251" s="83"/>
      <c r="AA251" s="83"/>
    </row>
    <row r="252" ht="15.75" customHeight="1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3"/>
      <c r="N252" s="84"/>
      <c r="O252" s="84"/>
      <c r="P252" s="83"/>
      <c r="Q252" s="83"/>
      <c r="R252" s="83"/>
      <c r="S252" s="83"/>
      <c r="T252" s="83"/>
      <c r="U252" s="83"/>
      <c r="V252" s="83"/>
      <c r="W252" s="83"/>
      <c r="X252" s="83"/>
      <c r="Y252" s="83"/>
      <c r="Z252" s="83"/>
      <c r="AA252" s="83"/>
    </row>
    <row r="253" ht="15.75" customHeight="1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3"/>
      <c r="N253" s="84"/>
      <c r="O253" s="84"/>
      <c r="P253" s="83"/>
      <c r="Q253" s="83"/>
      <c r="R253" s="83"/>
      <c r="S253" s="83"/>
      <c r="T253" s="83"/>
      <c r="U253" s="83"/>
      <c r="V253" s="83"/>
      <c r="W253" s="83"/>
      <c r="X253" s="83"/>
      <c r="Y253" s="83"/>
      <c r="Z253" s="83"/>
      <c r="AA253" s="83"/>
    </row>
    <row r="254" ht="15.75" customHeight="1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3"/>
      <c r="N254" s="84"/>
      <c r="O254" s="84"/>
      <c r="P254" s="83"/>
      <c r="Q254" s="83"/>
      <c r="R254" s="83"/>
      <c r="S254" s="83"/>
      <c r="T254" s="83"/>
      <c r="U254" s="83"/>
      <c r="V254" s="83"/>
      <c r="W254" s="83"/>
      <c r="X254" s="83"/>
      <c r="Y254" s="83"/>
      <c r="Z254" s="83"/>
      <c r="AA254" s="83"/>
    </row>
    <row r="255" ht="15.75" customHeight="1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3"/>
      <c r="N255" s="84"/>
      <c r="O255" s="84"/>
      <c r="P255" s="83"/>
      <c r="Q255" s="83"/>
      <c r="R255" s="83"/>
      <c r="S255" s="83"/>
      <c r="T255" s="83"/>
      <c r="U255" s="83"/>
      <c r="V255" s="83"/>
      <c r="W255" s="83"/>
      <c r="X255" s="83"/>
      <c r="Y255" s="83"/>
      <c r="Z255" s="83"/>
      <c r="AA255" s="83"/>
    </row>
    <row r="256" ht="15.75" customHeight="1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3"/>
      <c r="N256" s="84"/>
      <c r="O256" s="84"/>
      <c r="P256" s="83"/>
      <c r="Q256" s="83"/>
      <c r="R256" s="83"/>
      <c r="S256" s="83"/>
      <c r="T256" s="83"/>
      <c r="U256" s="83"/>
      <c r="V256" s="83"/>
      <c r="W256" s="83"/>
      <c r="X256" s="83"/>
      <c r="Y256" s="83"/>
      <c r="Z256" s="83"/>
      <c r="AA256" s="83"/>
    </row>
    <row r="257" ht="15.75" customHeight="1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3"/>
      <c r="N257" s="84"/>
      <c r="O257" s="84"/>
      <c r="P257" s="83"/>
      <c r="Q257" s="83"/>
      <c r="R257" s="83"/>
      <c r="S257" s="83"/>
      <c r="T257" s="83"/>
      <c r="U257" s="83"/>
      <c r="V257" s="83"/>
      <c r="W257" s="83"/>
      <c r="X257" s="83"/>
      <c r="Y257" s="83"/>
      <c r="Z257" s="83"/>
      <c r="AA257" s="83"/>
    </row>
    <row r="258" ht="15.75" customHeight="1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3"/>
      <c r="N258" s="84"/>
      <c r="O258" s="84"/>
      <c r="P258" s="83"/>
      <c r="Q258" s="83"/>
      <c r="R258" s="83"/>
      <c r="S258" s="83"/>
      <c r="T258" s="83"/>
      <c r="U258" s="83"/>
      <c r="V258" s="83"/>
      <c r="W258" s="83"/>
      <c r="X258" s="83"/>
      <c r="Y258" s="83"/>
      <c r="Z258" s="83"/>
      <c r="AA258" s="83"/>
    </row>
    <row r="259" ht="15.75" customHeight="1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3"/>
      <c r="N259" s="84"/>
      <c r="O259" s="84"/>
      <c r="P259" s="83"/>
      <c r="Q259" s="83"/>
      <c r="R259" s="83"/>
      <c r="S259" s="83"/>
      <c r="T259" s="83"/>
      <c r="U259" s="83"/>
      <c r="V259" s="83"/>
      <c r="W259" s="83"/>
      <c r="X259" s="83"/>
      <c r="Y259" s="83"/>
      <c r="Z259" s="83"/>
      <c r="AA259" s="83"/>
    </row>
    <row r="260" ht="15.75" customHeight="1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3"/>
      <c r="N260" s="84"/>
      <c r="O260" s="84"/>
      <c r="P260" s="83"/>
      <c r="Q260" s="83"/>
      <c r="R260" s="83"/>
      <c r="S260" s="83"/>
      <c r="T260" s="83"/>
      <c r="U260" s="83"/>
      <c r="V260" s="83"/>
      <c r="W260" s="83"/>
      <c r="X260" s="83"/>
      <c r="Y260" s="83"/>
      <c r="Z260" s="83"/>
      <c r="AA260" s="83"/>
    </row>
    <row r="261" ht="15.75" customHeight="1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3"/>
      <c r="N261" s="84"/>
      <c r="O261" s="84"/>
      <c r="P261" s="83"/>
      <c r="Q261" s="83"/>
      <c r="R261" s="83"/>
      <c r="S261" s="83"/>
      <c r="T261" s="83"/>
      <c r="U261" s="83"/>
      <c r="V261" s="83"/>
      <c r="W261" s="83"/>
      <c r="X261" s="83"/>
      <c r="Y261" s="83"/>
      <c r="Z261" s="83"/>
      <c r="AA261" s="83"/>
    </row>
    <row r="262" ht="15.75" customHeight="1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3"/>
      <c r="N262" s="84"/>
      <c r="O262" s="84"/>
      <c r="P262" s="83"/>
      <c r="Q262" s="83"/>
      <c r="R262" s="83"/>
      <c r="S262" s="83"/>
      <c r="T262" s="83"/>
      <c r="U262" s="83"/>
      <c r="V262" s="83"/>
      <c r="W262" s="83"/>
      <c r="X262" s="83"/>
      <c r="Y262" s="83"/>
      <c r="Z262" s="83"/>
      <c r="AA262" s="83"/>
    </row>
    <row r="263" ht="15.75" customHeight="1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3"/>
      <c r="N263" s="84"/>
      <c r="O263" s="84"/>
      <c r="P263" s="83"/>
      <c r="Q263" s="83"/>
      <c r="R263" s="83"/>
      <c r="S263" s="83"/>
      <c r="T263" s="83"/>
      <c r="U263" s="83"/>
      <c r="V263" s="83"/>
      <c r="W263" s="83"/>
      <c r="X263" s="83"/>
      <c r="Y263" s="83"/>
      <c r="Z263" s="83"/>
      <c r="AA263" s="83"/>
    </row>
    <row r="264" ht="15.75" customHeight="1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3"/>
      <c r="N264" s="84"/>
      <c r="O264" s="84"/>
      <c r="P264" s="83"/>
      <c r="Q264" s="83"/>
      <c r="R264" s="83"/>
      <c r="S264" s="83"/>
      <c r="T264" s="83"/>
      <c r="U264" s="83"/>
      <c r="V264" s="83"/>
      <c r="W264" s="83"/>
      <c r="X264" s="83"/>
      <c r="Y264" s="83"/>
      <c r="Z264" s="83"/>
      <c r="AA264" s="83"/>
    </row>
    <row r="265" ht="15.75" customHeight="1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3"/>
      <c r="N265" s="84"/>
      <c r="O265" s="84"/>
      <c r="P265" s="83"/>
      <c r="Q265" s="83"/>
      <c r="R265" s="83"/>
      <c r="S265" s="83"/>
      <c r="T265" s="83"/>
      <c r="U265" s="83"/>
      <c r="V265" s="83"/>
      <c r="W265" s="83"/>
      <c r="X265" s="83"/>
      <c r="Y265" s="83"/>
      <c r="Z265" s="83"/>
      <c r="AA265" s="83"/>
    </row>
    <row r="266" ht="15.75" customHeight="1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3"/>
      <c r="N266" s="84"/>
      <c r="O266" s="84"/>
      <c r="P266" s="83"/>
      <c r="Q266" s="83"/>
      <c r="R266" s="83"/>
      <c r="S266" s="83"/>
      <c r="T266" s="83"/>
      <c r="U266" s="83"/>
      <c r="V266" s="83"/>
      <c r="W266" s="83"/>
      <c r="X266" s="83"/>
      <c r="Y266" s="83"/>
      <c r="Z266" s="83"/>
      <c r="AA266" s="83"/>
    </row>
    <row r="267" ht="15.75" customHeight="1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3"/>
      <c r="N267" s="84"/>
      <c r="O267" s="84"/>
      <c r="P267" s="83"/>
      <c r="Q267" s="83"/>
      <c r="R267" s="83"/>
      <c r="S267" s="83"/>
      <c r="T267" s="83"/>
      <c r="U267" s="83"/>
      <c r="V267" s="83"/>
      <c r="W267" s="83"/>
      <c r="X267" s="83"/>
      <c r="Y267" s="83"/>
      <c r="Z267" s="83"/>
      <c r="AA267" s="83"/>
    </row>
    <row r="268" ht="15.75" customHeight="1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3"/>
      <c r="N268" s="84"/>
      <c r="O268" s="84"/>
      <c r="P268" s="83"/>
      <c r="Q268" s="83"/>
      <c r="R268" s="83"/>
      <c r="S268" s="83"/>
      <c r="T268" s="83"/>
      <c r="U268" s="83"/>
      <c r="V268" s="83"/>
      <c r="W268" s="83"/>
      <c r="X268" s="83"/>
      <c r="Y268" s="83"/>
      <c r="Z268" s="83"/>
      <c r="AA268" s="83"/>
    </row>
    <row r="269" ht="15.75" customHeight="1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3"/>
      <c r="N269" s="84"/>
      <c r="O269" s="84"/>
      <c r="P269" s="83"/>
      <c r="Q269" s="83"/>
      <c r="R269" s="83"/>
      <c r="S269" s="83"/>
      <c r="T269" s="83"/>
      <c r="U269" s="83"/>
      <c r="V269" s="83"/>
      <c r="W269" s="83"/>
      <c r="X269" s="83"/>
      <c r="Y269" s="83"/>
      <c r="Z269" s="83"/>
      <c r="AA269" s="83"/>
    </row>
    <row r="270" ht="15.75" customHeight="1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3"/>
      <c r="N270" s="84"/>
      <c r="O270" s="84"/>
      <c r="P270" s="83"/>
      <c r="Q270" s="83"/>
      <c r="R270" s="83"/>
      <c r="S270" s="83"/>
      <c r="T270" s="83"/>
      <c r="U270" s="83"/>
      <c r="V270" s="83"/>
      <c r="W270" s="83"/>
      <c r="X270" s="83"/>
      <c r="Y270" s="83"/>
      <c r="Z270" s="83"/>
      <c r="AA270" s="83"/>
    </row>
    <row r="271" ht="15.75" customHeight="1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3"/>
      <c r="N271" s="84"/>
      <c r="O271" s="84"/>
      <c r="P271" s="83"/>
      <c r="Q271" s="83"/>
      <c r="R271" s="83"/>
      <c r="S271" s="83"/>
      <c r="T271" s="83"/>
      <c r="U271" s="83"/>
      <c r="V271" s="83"/>
      <c r="W271" s="83"/>
      <c r="X271" s="83"/>
      <c r="Y271" s="83"/>
      <c r="Z271" s="83"/>
      <c r="AA271" s="83"/>
    </row>
    <row r="272" ht="15.75" customHeight="1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3"/>
      <c r="N272" s="84"/>
      <c r="O272" s="84"/>
      <c r="P272" s="83"/>
      <c r="Q272" s="83"/>
      <c r="R272" s="83"/>
      <c r="S272" s="83"/>
      <c r="T272" s="83"/>
      <c r="U272" s="83"/>
      <c r="V272" s="83"/>
      <c r="W272" s="83"/>
      <c r="X272" s="83"/>
      <c r="Y272" s="83"/>
      <c r="Z272" s="83"/>
      <c r="AA272" s="83"/>
    </row>
    <row r="273" ht="15.75" customHeight="1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3"/>
      <c r="N273" s="84"/>
      <c r="O273" s="84"/>
      <c r="P273" s="83"/>
      <c r="Q273" s="83"/>
      <c r="R273" s="83"/>
      <c r="S273" s="83"/>
      <c r="T273" s="83"/>
      <c r="U273" s="83"/>
      <c r="V273" s="83"/>
      <c r="W273" s="83"/>
      <c r="X273" s="83"/>
      <c r="Y273" s="83"/>
      <c r="Z273" s="83"/>
      <c r="AA273" s="83"/>
    </row>
    <row r="274" ht="15.75" customHeight="1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3"/>
      <c r="N274" s="84"/>
      <c r="O274" s="84"/>
      <c r="P274" s="83"/>
      <c r="Q274" s="83"/>
      <c r="R274" s="83"/>
      <c r="S274" s="83"/>
      <c r="T274" s="83"/>
      <c r="U274" s="83"/>
      <c r="V274" s="83"/>
      <c r="W274" s="83"/>
      <c r="X274" s="83"/>
      <c r="Y274" s="83"/>
      <c r="Z274" s="83"/>
      <c r="AA274" s="83"/>
    </row>
    <row r="275" ht="15.75" customHeight="1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3"/>
      <c r="N275" s="84"/>
      <c r="O275" s="84"/>
      <c r="P275" s="83"/>
      <c r="Q275" s="83"/>
      <c r="R275" s="83"/>
      <c r="S275" s="83"/>
      <c r="T275" s="83"/>
      <c r="U275" s="83"/>
      <c r="V275" s="83"/>
      <c r="W275" s="83"/>
      <c r="X275" s="83"/>
      <c r="Y275" s="83"/>
      <c r="Z275" s="83"/>
      <c r="AA275" s="83"/>
    </row>
    <row r="276" ht="15.75" customHeight="1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3"/>
      <c r="N276" s="84"/>
      <c r="O276" s="84"/>
      <c r="P276" s="83"/>
      <c r="Q276" s="83"/>
      <c r="R276" s="83"/>
      <c r="S276" s="83"/>
      <c r="T276" s="83"/>
      <c r="U276" s="83"/>
      <c r="V276" s="83"/>
      <c r="W276" s="83"/>
      <c r="X276" s="83"/>
      <c r="Y276" s="83"/>
      <c r="Z276" s="83"/>
      <c r="AA276" s="83"/>
    </row>
    <row r="277" ht="15.75" customHeight="1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3"/>
      <c r="N277" s="84"/>
      <c r="O277" s="84"/>
      <c r="P277" s="83"/>
      <c r="Q277" s="83"/>
      <c r="R277" s="83"/>
      <c r="S277" s="83"/>
      <c r="T277" s="83"/>
      <c r="U277" s="83"/>
      <c r="V277" s="83"/>
      <c r="W277" s="83"/>
      <c r="X277" s="83"/>
      <c r="Y277" s="83"/>
      <c r="Z277" s="83"/>
      <c r="AA277" s="83"/>
    </row>
    <row r="278" ht="15.75" customHeight="1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4"/>
      <c r="O278" s="84"/>
      <c r="P278" s="83"/>
      <c r="Q278" s="83"/>
      <c r="R278" s="83"/>
      <c r="S278" s="83"/>
      <c r="T278" s="83"/>
      <c r="U278" s="83"/>
      <c r="V278" s="83"/>
      <c r="W278" s="83"/>
      <c r="X278" s="83"/>
      <c r="Y278" s="83"/>
      <c r="Z278" s="83"/>
      <c r="AA278" s="83"/>
    </row>
    <row r="279" ht="15.75" customHeight="1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3"/>
      <c r="N279" s="84"/>
      <c r="O279" s="84"/>
      <c r="P279" s="83"/>
      <c r="Q279" s="83"/>
      <c r="R279" s="83"/>
      <c r="S279" s="83"/>
      <c r="T279" s="83"/>
      <c r="U279" s="83"/>
      <c r="V279" s="83"/>
      <c r="W279" s="83"/>
      <c r="X279" s="83"/>
      <c r="Y279" s="83"/>
      <c r="Z279" s="83"/>
      <c r="AA279" s="83"/>
    </row>
    <row r="280" ht="15.75" customHeight="1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3"/>
      <c r="N280" s="84"/>
      <c r="O280" s="84"/>
      <c r="P280" s="83"/>
      <c r="Q280" s="83"/>
      <c r="R280" s="83"/>
      <c r="S280" s="83"/>
      <c r="T280" s="83"/>
      <c r="U280" s="83"/>
      <c r="V280" s="83"/>
      <c r="W280" s="83"/>
      <c r="X280" s="83"/>
      <c r="Y280" s="83"/>
      <c r="Z280" s="83"/>
      <c r="AA280" s="83"/>
    </row>
    <row r="281" ht="15.75" customHeight="1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3"/>
      <c r="N281" s="84"/>
      <c r="O281" s="84"/>
      <c r="P281" s="83"/>
      <c r="Q281" s="83"/>
      <c r="R281" s="83"/>
      <c r="S281" s="83"/>
      <c r="T281" s="83"/>
      <c r="U281" s="83"/>
      <c r="V281" s="83"/>
      <c r="W281" s="83"/>
      <c r="X281" s="83"/>
      <c r="Y281" s="83"/>
      <c r="Z281" s="83"/>
      <c r="AA281" s="83"/>
    </row>
    <row r="282" ht="15.75" customHeight="1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3"/>
      <c r="N282" s="84"/>
      <c r="O282" s="84"/>
      <c r="P282" s="83"/>
      <c r="Q282" s="83"/>
      <c r="R282" s="83"/>
      <c r="S282" s="83"/>
      <c r="T282" s="83"/>
      <c r="U282" s="83"/>
      <c r="V282" s="83"/>
      <c r="W282" s="83"/>
      <c r="X282" s="83"/>
      <c r="Y282" s="83"/>
      <c r="Z282" s="83"/>
      <c r="AA282" s="83"/>
    </row>
    <row r="283" ht="15.75" customHeight="1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3"/>
      <c r="N283" s="84"/>
      <c r="O283" s="84"/>
      <c r="P283" s="83"/>
      <c r="Q283" s="83"/>
      <c r="R283" s="83"/>
      <c r="S283" s="83"/>
      <c r="T283" s="83"/>
      <c r="U283" s="83"/>
      <c r="V283" s="83"/>
      <c r="W283" s="83"/>
      <c r="X283" s="83"/>
      <c r="Y283" s="83"/>
      <c r="Z283" s="83"/>
      <c r="AA283" s="83"/>
    </row>
    <row r="284" ht="15.75" customHeight="1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3"/>
      <c r="N284" s="84"/>
      <c r="O284" s="84"/>
      <c r="P284" s="83"/>
      <c r="Q284" s="83"/>
      <c r="R284" s="83"/>
      <c r="S284" s="83"/>
      <c r="T284" s="83"/>
      <c r="U284" s="83"/>
      <c r="V284" s="83"/>
      <c r="W284" s="83"/>
      <c r="X284" s="83"/>
      <c r="Y284" s="83"/>
      <c r="Z284" s="83"/>
      <c r="AA284" s="83"/>
    </row>
    <row r="285" ht="15.75" customHeight="1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3"/>
      <c r="N285" s="84"/>
      <c r="O285" s="84"/>
      <c r="P285" s="83"/>
      <c r="Q285" s="83"/>
      <c r="R285" s="83"/>
      <c r="S285" s="83"/>
      <c r="T285" s="83"/>
      <c r="U285" s="83"/>
      <c r="V285" s="83"/>
      <c r="W285" s="83"/>
      <c r="X285" s="83"/>
      <c r="Y285" s="83"/>
      <c r="Z285" s="83"/>
      <c r="AA285" s="83"/>
    </row>
    <row r="286" ht="15.75" customHeight="1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3"/>
      <c r="N286" s="84"/>
      <c r="O286" s="84"/>
      <c r="P286" s="83"/>
      <c r="Q286" s="83"/>
      <c r="R286" s="83"/>
      <c r="S286" s="83"/>
      <c r="T286" s="83"/>
      <c r="U286" s="83"/>
      <c r="V286" s="83"/>
      <c r="W286" s="83"/>
      <c r="X286" s="83"/>
      <c r="Y286" s="83"/>
      <c r="Z286" s="83"/>
      <c r="AA286" s="83"/>
    </row>
    <row r="287" ht="15.75" customHeight="1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3"/>
      <c r="N287" s="84"/>
      <c r="O287" s="84"/>
      <c r="P287" s="83"/>
      <c r="Q287" s="83"/>
      <c r="R287" s="83"/>
      <c r="S287" s="83"/>
      <c r="T287" s="83"/>
      <c r="U287" s="83"/>
      <c r="V287" s="83"/>
      <c r="W287" s="83"/>
      <c r="X287" s="83"/>
      <c r="Y287" s="83"/>
      <c r="Z287" s="83"/>
      <c r="AA287" s="83"/>
    </row>
    <row r="288" ht="15.75" customHeight="1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3"/>
      <c r="N288" s="84"/>
      <c r="O288" s="84"/>
      <c r="P288" s="83"/>
      <c r="Q288" s="83"/>
      <c r="R288" s="83"/>
      <c r="S288" s="83"/>
      <c r="T288" s="83"/>
      <c r="U288" s="83"/>
      <c r="V288" s="83"/>
      <c r="W288" s="83"/>
      <c r="X288" s="83"/>
      <c r="Y288" s="83"/>
      <c r="Z288" s="83"/>
      <c r="AA288" s="83"/>
    </row>
    <row r="289" ht="15.75" customHeight="1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3"/>
      <c r="N289" s="84"/>
      <c r="O289" s="84"/>
      <c r="P289" s="83"/>
      <c r="Q289" s="83"/>
      <c r="R289" s="83"/>
      <c r="S289" s="83"/>
      <c r="T289" s="83"/>
      <c r="U289" s="83"/>
      <c r="V289" s="83"/>
      <c r="W289" s="83"/>
      <c r="X289" s="83"/>
      <c r="Y289" s="83"/>
      <c r="Z289" s="83"/>
      <c r="AA289" s="83"/>
    </row>
    <row r="290" ht="15.75" customHeight="1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3"/>
      <c r="N290" s="84"/>
      <c r="O290" s="84"/>
      <c r="P290" s="83"/>
      <c r="Q290" s="83"/>
      <c r="R290" s="83"/>
      <c r="S290" s="83"/>
      <c r="T290" s="83"/>
      <c r="U290" s="83"/>
      <c r="V290" s="83"/>
      <c r="W290" s="83"/>
      <c r="X290" s="83"/>
      <c r="Y290" s="83"/>
      <c r="Z290" s="83"/>
      <c r="AA290" s="83"/>
    </row>
    <row r="291" ht="15.75" customHeight="1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3"/>
      <c r="N291" s="84"/>
      <c r="O291" s="84"/>
      <c r="P291" s="83"/>
      <c r="Q291" s="83"/>
      <c r="R291" s="83"/>
      <c r="S291" s="83"/>
      <c r="T291" s="83"/>
      <c r="U291" s="83"/>
      <c r="V291" s="83"/>
      <c r="W291" s="83"/>
      <c r="X291" s="83"/>
      <c r="Y291" s="83"/>
      <c r="Z291" s="83"/>
      <c r="AA291" s="83"/>
    </row>
    <row r="292" ht="15.75" customHeight="1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3"/>
      <c r="N292" s="84"/>
      <c r="O292" s="84"/>
      <c r="P292" s="83"/>
      <c r="Q292" s="83"/>
      <c r="R292" s="83"/>
      <c r="S292" s="83"/>
      <c r="T292" s="83"/>
      <c r="U292" s="83"/>
      <c r="V292" s="83"/>
      <c r="W292" s="83"/>
      <c r="X292" s="83"/>
      <c r="Y292" s="83"/>
      <c r="Z292" s="83"/>
      <c r="AA292" s="83"/>
    </row>
    <row r="293" ht="15.75" customHeight="1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3"/>
      <c r="N293" s="84"/>
      <c r="O293" s="84"/>
      <c r="P293" s="83"/>
      <c r="Q293" s="83"/>
      <c r="R293" s="83"/>
      <c r="S293" s="83"/>
      <c r="T293" s="83"/>
      <c r="U293" s="83"/>
      <c r="V293" s="83"/>
      <c r="W293" s="83"/>
      <c r="X293" s="83"/>
      <c r="Y293" s="83"/>
      <c r="Z293" s="83"/>
      <c r="AA293" s="83"/>
    </row>
    <row r="294" ht="15.75" customHeight="1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3"/>
      <c r="N294" s="84"/>
      <c r="O294" s="84"/>
      <c r="P294" s="83"/>
      <c r="Q294" s="83"/>
      <c r="R294" s="83"/>
      <c r="S294" s="83"/>
      <c r="T294" s="83"/>
      <c r="U294" s="83"/>
      <c r="V294" s="83"/>
      <c r="W294" s="83"/>
      <c r="X294" s="83"/>
      <c r="Y294" s="83"/>
      <c r="Z294" s="83"/>
      <c r="AA294" s="83"/>
    </row>
    <row r="295" ht="15.75" customHeight="1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3"/>
      <c r="N295" s="84"/>
      <c r="O295" s="84"/>
      <c r="P295" s="83"/>
      <c r="Q295" s="83"/>
      <c r="R295" s="83"/>
      <c r="S295" s="83"/>
      <c r="T295" s="83"/>
      <c r="U295" s="83"/>
      <c r="V295" s="83"/>
      <c r="W295" s="83"/>
      <c r="X295" s="83"/>
      <c r="Y295" s="83"/>
      <c r="Z295" s="83"/>
      <c r="AA295" s="83"/>
    </row>
    <row r="296" ht="15.75" customHeight="1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3"/>
      <c r="N296" s="84"/>
      <c r="O296" s="84"/>
      <c r="P296" s="83"/>
      <c r="Q296" s="83"/>
      <c r="R296" s="83"/>
      <c r="S296" s="83"/>
      <c r="T296" s="83"/>
      <c r="U296" s="83"/>
      <c r="V296" s="83"/>
      <c r="W296" s="83"/>
      <c r="X296" s="83"/>
      <c r="Y296" s="83"/>
      <c r="Z296" s="83"/>
      <c r="AA296" s="83"/>
    </row>
    <row r="297" ht="15.75" customHeight="1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3"/>
      <c r="N297" s="84"/>
      <c r="O297" s="84"/>
      <c r="P297" s="83"/>
      <c r="Q297" s="83"/>
      <c r="R297" s="83"/>
      <c r="S297" s="83"/>
      <c r="T297" s="83"/>
      <c r="U297" s="83"/>
      <c r="V297" s="83"/>
      <c r="W297" s="83"/>
      <c r="X297" s="83"/>
      <c r="Y297" s="83"/>
      <c r="Z297" s="83"/>
      <c r="AA297" s="83"/>
    </row>
    <row r="298" ht="15.75" customHeight="1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3"/>
      <c r="N298" s="84"/>
      <c r="O298" s="84"/>
      <c r="P298" s="83"/>
      <c r="Q298" s="83"/>
      <c r="R298" s="83"/>
      <c r="S298" s="83"/>
      <c r="T298" s="83"/>
      <c r="U298" s="83"/>
      <c r="V298" s="83"/>
      <c r="W298" s="83"/>
      <c r="X298" s="83"/>
      <c r="Y298" s="83"/>
      <c r="Z298" s="83"/>
      <c r="AA298" s="83"/>
    </row>
    <row r="299" ht="15.75" customHeight="1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3"/>
      <c r="N299" s="84"/>
      <c r="O299" s="84"/>
      <c r="P299" s="83"/>
      <c r="Q299" s="83"/>
      <c r="R299" s="83"/>
      <c r="S299" s="83"/>
      <c r="T299" s="83"/>
      <c r="U299" s="83"/>
      <c r="V299" s="83"/>
      <c r="W299" s="83"/>
      <c r="X299" s="83"/>
      <c r="Y299" s="83"/>
      <c r="Z299" s="83"/>
      <c r="AA299" s="83"/>
    </row>
    <row r="300" ht="15.75" customHeight="1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3"/>
      <c r="N300" s="84"/>
      <c r="O300" s="84"/>
      <c r="P300" s="83"/>
      <c r="Q300" s="83"/>
      <c r="R300" s="83"/>
      <c r="S300" s="83"/>
      <c r="T300" s="83"/>
      <c r="U300" s="83"/>
      <c r="V300" s="83"/>
      <c r="W300" s="83"/>
      <c r="X300" s="83"/>
      <c r="Y300" s="83"/>
      <c r="Z300" s="83"/>
      <c r="AA300" s="83"/>
    </row>
    <row r="301" ht="15.75" customHeight="1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3"/>
      <c r="N301" s="84"/>
      <c r="O301" s="84"/>
      <c r="P301" s="83"/>
      <c r="Q301" s="83"/>
      <c r="R301" s="83"/>
      <c r="S301" s="83"/>
      <c r="T301" s="83"/>
      <c r="U301" s="83"/>
      <c r="V301" s="83"/>
      <c r="W301" s="83"/>
      <c r="X301" s="83"/>
      <c r="Y301" s="83"/>
      <c r="Z301" s="83"/>
      <c r="AA301" s="83"/>
    </row>
    <row r="302" ht="15.75" customHeight="1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3"/>
      <c r="N302" s="84"/>
      <c r="O302" s="84"/>
      <c r="P302" s="83"/>
      <c r="Q302" s="83"/>
      <c r="R302" s="83"/>
      <c r="S302" s="83"/>
      <c r="T302" s="83"/>
      <c r="U302" s="83"/>
      <c r="V302" s="83"/>
      <c r="W302" s="83"/>
      <c r="X302" s="83"/>
      <c r="Y302" s="83"/>
      <c r="Z302" s="83"/>
      <c r="AA302" s="83"/>
    </row>
    <row r="303" ht="15.75" customHeight="1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3"/>
      <c r="N303" s="84"/>
      <c r="O303" s="84"/>
      <c r="P303" s="83"/>
      <c r="Q303" s="83"/>
      <c r="R303" s="83"/>
      <c r="S303" s="83"/>
      <c r="T303" s="83"/>
      <c r="U303" s="83"/>
      <c r="V303" s="83"/>
      <c r="W303" s="83"/>
      <c r="X303" s="83"/>
      <c r="Y303" s="83"/>
      <c r="Z303" s="83"/>
      <c r="AA303" s="83"/>
    </row>
    <row r="304" ht="15.75" customHeight="1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3"/>
      <c r="N304" s="84"/>
      <c r="O304" s="84"/>
      <c r="P304" s="83"/>
      <c r="Q304" s="83"/>
      <c r="R304" s="83"/>
      <c r="S304" s="83"/>
      <c r="T304" s="83"/>
      <c r="U304" s="83"/>
      <c r="V304" s="83"/>
      <c r="W304" s="83"/>
      <c r="X304" s="83"/>
      <c r="Y304" s="83"/>
      <c r="Z304" s="83"/>
      <c r="AA304" s="83"/>
    </row>
    <row r="305" ht="15.75" customHeight="1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3"/>
      <c r="N305" s="84"/>
      <c r="O305" s="84"/>
      <c r="P305" s="83"/>
      <c r="Q305" s="83"/>
      <c r="R305" s="83"/>
      <c r="S305" s="83"/>
      <c r="T305" s="83"/>
      <c r="U305" s="83"/>
      <c r="V305" s="83"/>
      <c r="W305" s="83"/>
      <c r="X305" s="83"/>
      <c r="Y305" s="83"/>
      <c r="Z305" s="83"/>
      <c r="AA305" s="83"/>
    </row>
    <row r="306" ht="15.75" customHeight="1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3"/>
      <c r="N306" s="84"/>
      <c r="O306" s="84"/>
      <c r="P306" s="83"/>
      <c r="Q306" s="83"/>
      <c r="R306" s="83"/>
      <c r="S306" s="83"/>
      <c r="T306" s="83"/>
      <c r="U306" s="83"/>
      <c r="V306" s="83"/>
      <c r="W306" s="83"/>
      <c r="X306" s="83"/>
      <c r="Y306" s="83"/>
      <c r="Z306" s="83"/>
      <c r="AA306" s="83"/>
    </row>
    <row r="307" ht="15.75" customHeight="1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3"/>
      <c r="N307" s="84"/>
      <c r="O307" s="84"/>
      <c r="P307" s="83"/>
      <c r="Q307" s="83"/>
      <c r="R307" s="83"/>
      <c r="S307" s="83"/>
      <c r="T307" s="83"/>
      <c r="U307" s="83"/>
      <c r="V307" s="83"/>
      <c r="W307" s="83"/>
      <c r="X307" s="83"/>
      <c r="Y307" s="83"/>
      <c r="Z307" s="83"/>
      <c r="AA307" s="83"/>
    </row>
    <row r="308" ht="15.75" customHeight="1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3"/>
      <c r="N308" s="84"/>
      <c r="O308" s="84"/>
      <c r="P308" s="83"/>
      <c r="Q308" s="83"/>
      <c r="R308" s="83"/>
      <c r="S308" s="83"/>
      <c r="T308" s="83"/>
      <c r="U308" s="83"/>
      <c r="V308" s="83"/>
      <c r="W308" s="83"/>
      <c r="X308" s="83"/>
      <c r="Y308" s="83"/>
      <c r="Z308" s="83"/>
      <c r="AA308" s="83"/>
    </row>
    <row r="309" ht="15.75" customHeight="1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3"/>
      <c r="N309" s="84"/>
      <c r="O309" s="84"/>
      <c r="P309" s="83"/>
      <c r="Q309" s="83"/>
      <c r="R309" s="83"/>
      <c r="S309" s="83"/>
      <c r="T309" s="83"/>
      <c r="U309" s="83"/>
      <c r="V309" s="83"/>
      <c r="W309" s="83"/>
      <c r="X309" s="83"/>
      <c r="Y309" s="83"/>
      <c r="Z309" s="83"/>
      <c r="AA309" s="83"/>
    </row>
    <row r="310" ht="15.75" customHeight="1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3"/>
      <c r="N310" s="84"/>
      <c r="O310" s="84"/>
      <c r="P310" s="83"/>
      <c r="Q310" s="83"/>
      <c r="R310" s="83"/>
      <c r="S310" s="83"/>
      <c r="T310" s="83"/>
      <c r="U310" s="83"/>
      <c r="V310" s="83"/>
      <c r="W310" s="83"/>
      <c r="X310" s="83"/>
      <c r="Y310" s="83"/>
      <c r="Z310" s="83"/>
      <c r="AA310" s="83"/>
    </row>
    <row r="311" ht="15.75" customHeight="1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3"/>
      <c r="N311" s="84"/>
      <c r="O311" s="84"/>
      <c r="P311" s="83"/>
      <c r="Q311" s="83"/>
      <c r="R311" s="83"/>
      <c r="S311" s="83"/>
      <c r="T311" s="83"/>
      <c r="U311" s="83"/>
      <c r="V311" s="83"/>
      <c r="W311" s="83"/>
      <c r="X311" s="83"/>
      <c r="Y311" s="83"/>
      <c r="Z311" s="83"/>
      <c r="AA311" s="83"/>
    </row>
    <row r="312" ht="15.75" customHeight="1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3"/>
      <c r="N312" s="84"/>
      <c r="O312" s="84"/>
      <c r="P312" s="83"/>
      <c r="Q312" s="83"/>
      <c r="R312" s="83"/>
      <c r="S312" s="83"/>
      <c r="T312" s="83"/>
      <c r="U312" s="83"/>
      <c r="V312" s="83"/>
      <c r="W312" s="83"/>
      <c r="X312" s="83"/>
      <c r="Y312" s="83"/>
      <c r="Z312" s="83"/>
      <c r="AA312" s="83"/>
    </row>
    <row r="313" ht="15.75" customHeight="1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4"/>
      <c r="O313" s="84"/>
      <c r="P313" s="83"/>
      <c r="Q313" s="83"/>
      <c r="R313" s="83"/>
      <c r="S313" s="83"/>
      <c r="T313" s="83"/>
      <c r="U313" s="83"/>
      <c r="V313" s="83"/>
      <c r="W313" s="83"/>
      <c r="X313" s="83"/>
      <c r="Y313" s="83"/>
      <c r="Z313" s="83"/>
      <c r="AA313" s="83"/>
    </row>
    <row r="314" ht="15.75" customHeight="1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3"/>
      <c r="N314" s="84"/>
      <c r="O314" s="84"/>
      <c r="P314" s="83"/>
      <c r="Q314" s="83"/>
      <c r="R314" s="83"/>
      <c r="S314" s="83"/>
      <c r="T314" s="83"/>
      <c r="U314" s="83"/>
      <c r="V314" s="83"/>
      <c r="W314" s="83"/>
      <c r="X314" s="83"/>
      <c r="Y314" s="83"/>
      <c r="Z314" s="83"/>
      <c r="AA314" s="83"/>
    </row>
    <row r="315" ht="15.75" customHeight="1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3"/>
      <c r="N315" s="84"/>
      <c r="O315" s="84"/>
      <c r="P315" s="83"/>
      <c r="Q315" s="83"/>
      <c r="R315" s="83"/>
      <c r="S315" s="83"/>
      <c r="T315" s="83"/>
      <c r="U315" s="83"/>
      <c r="V315" s="83"/>
      <c r="W315" s="83"/>
      <c r="X315" s="83"/>
      <c r="Y315" s="83"/>
      <c r="Z315" s="83"/>
      <c r="AA315" s="83"/>
    </row>
    <row r="316" ht="15.75" customHeight="1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3"/>
      <c r="N316" s="84"/>
      <c r="O316" s="84"/>
      <c r="P316" s="83"/>
      <c r="Q316" s="83"/>
      <c r="R316" s="83"/>
      <c r="S316" s="83"/>
      <c r="T316" s="83"/>
      <c r="U316" s="83"/>
      <c r="V316" s="83"/>
      <c r="W316" s="83"/>
      <c r="X316" s="83"/>
      <c r="Y316" s="83"/>
      <c r="Z316" s="83"/>
      <c r="AA316" s="83"/>
    </row>
    <row r="317" ht="15.75" customHeight="1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3"/>
      <c r="N317" s="84"/>
      <c r="O317" s="84"/>
      <c r="P317" s="83"/>
      <c r="Q317" s="83"/>
      <c r="R317" s="83"/>
      <c r="S317" s="83"/>
      <c r="T317" s="83"/>
      <c r="U317" s="83"/>
      <c r="V317" s="83"/>
      <c r="W317" s="83"/>
      <c r="X317" s="83"/>
      <c r="Y317" s="83"/>
      <c r="Z317" s="83"/>
      <c r="AA317" s="83"/>
    </row>
    <row r="318" ht="15.75" customHeight="1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3"/>
      <c r="N318" s="84"/>
      <c r="O318" s="84"/>
      <c r="P318" s="83"/>
      <c r="Q318" s="83"/>
      <c r="R318" s="83"/>
      <c r="S318" s="83"/>
      <c r="T318" s="83"/>
      <c r="U318" s="83"/>
      <c r="V318" s="83"/>
      <c r="W318" s="83"/>
      <c r="X318" s="83"/>
      <c r="Y318" s="83"/>
      <c r="Z318" s="83"/>
      <c r="AA318" s="83"/>
    </row>
    <row r="319" ht="15.75" customHeight="1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3"/>
      <c r="N319" s="84"/>
      <c r="O319" s="84"/>
      <c r="P319" s="83"/>
      <c r="Q319" s="83"/>
      <c r="R319" s="83"/>
      <c r="S319" s="83"/>
      <c r="T319" s="83"/>
      <c r="U319" s="83"/>
      <c r="V319" s="83"/>
      <c r="W319" s="83"/>
      <c r="X319" s="83"/>
      <c r="Y319" s="83"/>
      <c r="Z319" s="83"/>
      <c r="AA319" s="83"/>
    </row>
    <row r="320" ht="15.75" customHeight="1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3"/>
      <c r="N320" s="84"/>
      <c r="O320" s="84"/>
      <c r="P320" s="83"/>
      <c r="Q320" s="83"/>
      <c r="R320" s="83"/>
      <c r="S320" s="83"/>
      <c r="T320" s="83"/>
      <c r="U320" s="83"/>
      <c r="V320" s="83"/>
      <c r="W320" s="83"/>
      <c r="X320" s="83"/>
      <c r="Y320" s="83"/>
      <c r="Z320" s="83"/>
      <c r="AA320" s="83"/>
    </row>
    <row r="321" ht="15.75" customHeight="1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3"/>
      <c r="N321" s="84"/>
      <c r="O321" s="84"/>
      <c r="P321" s="83"/>
      <c r="Q321" s="83"/>
      <c r="R321" s="83"/>
      <c r="S321" s="83"/>
      <c r="T321" s="83"/>
      <c r="U321" s="83"/>
      <c r="V321" s="83"/>
      <c r="W321" s="83"/>
      <c r="X321" s="83"/>
      <c r="Y321" s="83"/>
      <c r="Z321" s="83"/>
      <c r="AA321" s="83"/>
    </row>
    <row r="322" ht="15.75" customHeight="1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3"/>
      <c r="N322" s="84"/>
      <c r="O322" s="84"/>
      <c r="P322" s="83"/>
      <c r="Q322" s="83"/>
      <c r="R322" s="83"/>
      <c r="S322" s="83"/>
      <c r="T322" s="83"/>
      <c r="U322" s="83"/>
      <c r="V322" s="83"/>
      <c r="W322" s="83"/>
      <c r="X322" s="83"/>
      <c r="Y322" s="83"/>
      <c r="Z322" s="83"/>
      <c r="AA322" s="83"/>
    </row>
    <row r="323" ht="15.75" customHeight="1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3"/>
      <c r="N323" s="84"/>
      <c r="O323" s="84"/>
      <c r="P323" s="83"/>
      <c r="Q323" s="83"/>
      <c r="R323" s="83"/>
      <c r="S323" s="83"/>
      <c r="T323" s="83"/>
      <c r="U323" s="83"/>
      <c r="V323" s="83"/>
      <c r="W323" s="83"/>
      <c r="X323" s="83"/>
      <c r="Y323" s="83"/>
      <c r="Z323" s="83"/>
      <c r="AA323" s="83"/>
    </row>
    <row r="324" ht="15.75" customHeight="1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3"/>
      <c r="N324" s="84"/>
      <c r="O324" s="84"/>
      <c r="P324" s="83"/>
      <c r="Q324" s="83"/>
      <c r="R324" s="83"/>
      <c r="S324" s="83"/>
      <c r="T324" s="83"/>
      <c r="U324" s="83"/>
      <c r="V324" s="83"/>
      <c r="W324" s="83"/>
      <c r="X324" s="83"/>
      <c r="Y324" s="83"/>
      <c r="Z324" s="83"/>
      <c r="AA324" s="83"/>
    </row>
    <row r="325" ht="15.75" customHeight="1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3"/>
      <c r="N325" s="84"/>
      <c r="O325" s="84"/>
      <c r="P325" s="83"/>
      <c r="Q325" s="83"/>
      <c r="R325" s="83"/>
      <c r="S325" s="83"/>
      <c r="T325" s="83"/>
      <c r="U325" s="83"/>
      <c r="V325" s="83"/>
      <c r="W325" s="83"/>
      <c r="X325" s="83"/>
      <c r="Y325" s="83"/>
      <c r="Z325" s="83"/>
      <c r="AA325" s="83"/>
    </row>
    <row r="326" ht="15.75" customHeight="1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3"/>
      <c r="N326" s="84"/>
      <c r="O326" s="84"/>
      <c r="P326" s="83"/>
      <c r="Q326" s="83"/>
      <c r="R326" s="83"/>
      <c r="S326" s="83"/>
      <c r="T326" s="83"/>
      <c r="U326" s="83"/>
      <c r="V326" s="83"/>
      <c r="W326" s="83"/>
      <c r="X326" s="83"/>
      <c r="Y326" s="83"/>
      <c r="Z326" s="83"/>
      <c r="AA326" s="83"/>
    </row>
    <row r="327" ht="15.75" customHeight="1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3"/>
      <c r="N327" s="84"/>
      <c r="O327" s="84"/>
      <c r="P327" s="83"/>
      <c r="Q327" s="83"/>
      <c r="R327" s="83"/>
      <c r="S327" s="83"/>
      <c r="T327" s="83"/>
      <c r="U327" s="83"/>
      <c r="V327" s="83"/>
      <c r="W327" s="83"/>
      <c r="X327" s="83"/>
      <c r="Y327" s="83"/>
      <c r="Z327" s="83"/>
      <c r="AA327" s="83"/>
    </row>
    <row r="328" ht="15.75" customHeight="1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3"/>
      <c r="N328" s="84"/>
      <c r="O328" s="84"/>
      <c r="P328" s="83"/>
      <c r="Q328" s="83"/>
      <c r="R328" s="83"/>
      <c r="S328" s="83"/>
      <c r="T328" s="83"/>
      <c r="U328" s="83"/>
      <c r="V328" s="83"/>
      <c r="W328" s="83"/>
      <c r="X328" s="83"/>
      <c r="Y328" s="83"/>
      <c r="Z328" s="83"/>
      <c r="AA328" s="83"/>
    </row>
    <row r="329" ht="15.75" customHeight="1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3"/>
      <c r="N329" s="84"/>
      <c r="O329" s="84"/>
      <c r="P329" s="83"/>
      <c r="Q329" s="83"/>
      <c r="R329" s="83"/>
      <c r="S329" s="83"/>
      <c r="T329" s="83"/>
      <c r="U329" s="83"/>
      <c r="V329" s="83"/>
      <c r="W329" s="83"/>
      <c r="X329" s="83"/>
      <c r="Y329" s="83"/>
      <c r="Z329" s="83"/>
      <c r="AA329" s="83"/>
    </row>
    <row r="330" ht="15.75" customHeight="1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3"/>
      <c r="N330" s="84"/>
      <c r="O330" s="84"/>
      <c r="P330" s="83"/>
      <c r="Q330" s="83"/>
      <c r="R330" s="83"/>
      <c r="S330" s="83"/>
      <c r="T330" s="83"/>
      <c r="U330" s="83"/>
      <c r="V330" s="83"/>
      <c r="W330" s="83"/>
      <c r="X330" s="83"/>
      <c r="Y330" s="83"/>
      <c r="Z330" s="83"/>
      <c r="AA330" s="83"/>
    </row>
    <row r="331" ht="15.75" customHeight="1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3"/>
      <c r="N331" s="84"/>
      <c r="O331" s="84"/>
      <c r="P331" s="83"/>
      <c r="Q331" s="83"/>
      <c r="R331" s="83"/>
      <c r="S331" s="83"/>
      <c r="T331" s="83"/>
      <c r="U331" s="83"/>
      <c r="V331" s="83"/>
      <c r="W331" s="83"/>
      <c r="X331" s="83"/>
      <c r="Y331" s="83"/>
      <c r="Z331" s="83"/>
      <c r="AA331" s="83"/>
    </row>
    <row r="332" ht="15.75" customHeight="1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3"/>
      <c r="N332" s="84"/>
      <c r="O332" s="84"/>
      <c r="P332" s="83"/>
      <c r="Q332" s="83"/>
      <c r="R332" s="83"/>
      <c r="S332" s="83"/>
      <c r="T332" s="83"/>
      <c r="U332" s="83"/>
      <c r="V332" s="83"/>
      <c r="W332" s="83"/>
      <c r="X332" s="83"/>
      <c r="Y332" s="83"/>
      <c r="Z332" s="83"/>
      <c r="AA332" s="83"/>
    </row>
    <row r="333" ht="15.75" customHeight="1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3"/>
      <c r="N333" s="84"/>
      <c r="O333" s="84"/>
      <c r="P333" s="83"/>
      <c r="Q333" s="83"/>
      <c r="R333" s="83"/>
      <c r="S333" s="83"/>
      <c r="T333" s="83"/>
      <c r="U333" s="83"/>
      <c r="V333" s="83"/>
      <c r="W333" s="83"/>
      <c r="X333" s="83"/>
      <c r="Y333" s="83"/>
      <c r="Z333" s="83"/>
      <c r="AA333" s="83"/>
    </row>
    <row r="334" ht="15.75" customHeight="1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3"/>
      <c r="N334" s="84"/>
      <c r="O334" s="84"/>
      <c r="P334" s="83"/>
      <c r="Q334" s="83"/>
      <c r="R334" s="83"/>
      <c r="S334" s="83"/>
      <c r="T334" s="83"/>
      <c r="U334" s="83"/>
      <c r="V334" s="83"/>
      <c r="W334" s="83"/>
      <c r="X334" s="83"/>
      <c r="Y334" s="83"/>
      <c r="Z334" s="83"/>
      <c r="AA334" s="83"/>
    </row>
    <row r="335" ht="15.75" customHeight="1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3"/>
      <c r="N335" s="84"/>
      <c r="O335" s="84"/>
      <c r="P335" s="83"/>
      <c r="Q335" s="83"/>
      <c r="R335" s="83"/>
      <c r="S335" s="83"/>
      <c r="T335" s="83"/>
      <c r="U335" s="83"/>
      <c r="V335" s="83"/>
      <c r="W335" s="83"/>
      <c r="X335" s="83"/>
      <c r="Y335" s="83"/>
      <c r="Z335" s="83"/>
      <c r="AA335" s="83"/>
    </row>
    <row r="336" ht="15.75" customHeight="1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3"/>
      <c r="N336" s="84"/>
      <c r="O336" s="84"/>
      <c r="P336" s="83"/>
      <c r="Q336" s="83"/>
      <c r="R336" s="83"/>
      <c r="S336" s="83"/>
      <c r="T336" s="83"/>
      <c r="U336" s="83"/>
      <c r="V336" s="83"/>
      <c r="W336" s="83"/>
      <c r="X336" s="83"/>
      <c r="Y336" s="83"/>
      <c r="Z336" s="83"/>
      <c r="AA336" s="83"/>
    </row>
    <row r="337" ht="15.75" customHeight="1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3"/>
      <c r="N337" s="84"/>
      <c r="O337" s="84"/>
      <c r="P337" s="83"/>
      <c r="Q337" s="83"/>
      <c r="R337" s="83"/>
      <c r="S337" s="83"/>
      <c r="T337" s="83"/>
      <c r="U337" s="83"/>
      <c r="V337" s="83"/>
      <c r="W337" s="83"/>
      <c r="X337" s="83"/>
      <c r="Y337" s="83"/>
      <c r="Z337" s="83"/>
      <c r="AA337" s="83"/>
    </row>
    <row r="338" ht="15.75" customHeight="1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4"/>
      <c r="O338" s="84"/>
      <c r="P338" s="83"/>
      <c r="Q338" s="83"/>
      <c r="R338" s="83"/>
      <c r="S338" s="83"/>
      <c r="T338" s="83"/>
      <c r="U338" s="83"/>
      <c r="V338" s="83"/>
      <c r="W338" s="83"/>
      <c r="X338" s="83"/>
      <c r="Y338" s="83"/>
      <c r="Z338" s="83"/>
      <c r="AA338" s="83"/>
    </row>
    <row r="339" ht="15.75" customHeight="1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3"/>
      <c r="N339" s="84"/>
      <c r="O339" s="84"/>
      <c r="P339" s="83"/>
      <c r="Q339" s="83"/>
      <c r="R339" s="83"/>
      <c r="S339" s="83"/>
      <c r="T339" s="83"/>
      <c r="U339" s="83"/>
      <c r="V339" s="83"/>
      <c r="W339" s="83"/>
      <c r="X339" s="83"/>
      <c r="Y339" s="83"/>
      <c r="Z339" s="83"/>
      <c r="AA339" s="83"/>
    </row>
    <row r="340" ht="15.75" customHeight="1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4"/>
      <c r="O340" s="84"/>
      <c r="P340" s="83"/>
      <c r="Q340" s="83"/>
      <c r="R340" s="83"/>
      <c r="S340" s="83"/>
      <c r="T340" s="83"/>
      <c r="U340" s="83"/>
      <c r="V340" s="83"/>
      <c r="W340" s="83"/>
      <c r="X340" s="83"/>
      <c r="Y340" s="83"/>
      <c r="Z340" s="83"/>
      <c r="AA340" s="83"/>
    </row>
    <row r="341" ht="15.75" customHeight="1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3"/>
      <c r="N341" s="84"/>
      <c r="O341" s="84"/>
      <c r="P341" s="83"/>
      <c r="Q341" s="83"/>
      <c r="R341" s="83"/>
      <c r="S341" s="83"/>
      <c r="T341" s="83"/>
      <c r="U341" s="83"/>
      <c r="V341" s="83"/>
      <c r="W341" s="83"/>
      <c r="X341" s="83"/>
      <c r="Y341" s="83"/>
      <c r="Z341" s="83"/>
      <c r="AA341" s="83"/>
    </row>
    <row r="342" ht="15.75" customHeight="1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3"/>
      <c r="N342" s="84"/>
      <c r="O342" s="84"/>
      <c r="P342" s="83"/>
      <c r="Q342" s="83"/>
      <c r="R342" s="83"/>
      <c r="S342" s="83"/>
      <c r="T342" s="83"/>
      <c r="U342" s="83"/>
      <c r="V342" s="83"/>
      <c r="W342" s="83"/>
      <c r="X342" s="83"/>
      <c r="Y342" s="83"/>
      <c r="Z342" s="83"/>
      <c r="AA342" s="83"/>
    </row>
    <row r="343" ht="15.75" customHeight="1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3"/>
      <c r="N343" s="84"/>
      <c r="O343" s="84"/>
      <c r="P343" s="83"/>
      <c r="Q343" s="83"/>
      <c r="R343" s="83"/>
      <c r="S343" s="83"/>
      <c r="T343" s="83"/>
      <c r="U343" s="83"/>
      <c r="V343" s="83"/>
      <c r="W343" s="83"/>
      <c r="X343" s="83"/>
      <c r="Y343" s="83"/>
      <c r="Z343" s="83"/>
      <c r="AA343" s="83"/>
    </row>
    <row r="344" ht="15.75" customHeight="1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3"/>
      <c r="N344" s="84"/>
      <c r="O344" s="84"/>
      <c r="P344" s="83"/>
      <c r="Q344" s="83"/>
      <c r="R344" s="83"/>
      <c r="S344" s="83"/>
      <c r="T344" s="83"/>
      <c r="U344" s="83"/>
      <c r="V344" s="83"/>
      <c r="W344" s="83"/>
      <c r="X344" s="83"/>
      <c r="Y344" s="83"/>
      <c r="Z344" s="83"/>
      <c r="AA344" s="83"/>
    </row>
    <row r="345" ht="15.75" customHeight="1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3"/>
      <c r="N345" s="84"/>
      <c r="O345" s="84"/>
      <c r="P345" s="83"/>
      <c r="Q345" s="83"/>
      <c r="R345" s="83"/>
      <c r="S345" s="83"/>
      <c r="T345" s="83"/>
      <c r="U345" s="83"/>
      <c r="V345" s="83"/>
      <c r="W345" s="83"/>
      <c r="X345" s="83"/>
      <c r="Y345" s="83"/>
      <c r="Z345" s="83"/>
      <c r="AA345" s="83"/>
    </row>
    <row r="346" ht="15.75" customHeight="1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4"/>
      <c r="O346" s="84"/>
      <c r="P346" s="83"/>
      <c r="Q346" s="83"/>
      <c r="R346" s="83"/>
      <c r="S346" s="83"/>
      <c r="T346" s="83"/>
      <c r="U346" s="83"/>
      <c r="V346" s="83"/>
      <c r="W346" s="83"/>
      <c r="X346" s="83"/>
      <c r="Y346" s="83"/>
      <c r="Z346" s="83"/>
      <c r="AA346" s="83"/>
    </row>
    <row r="347" ht="15.75" customHeight="1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3"/>
      <c r="N347" s="84"/>
      <c r="O347" s="84"/>
      <c r="P347" s="83"/>
      <c r="Q347" s="83"/>
      <c r="R347" s="83"/>
      <c r="S347" s="83"/>
      <c r="T347" s="83"/>
      <c r="U347" s="83"/>
      <c r="V347" s="83"/>
      <c r="W347" s="83"/>
      <c r="X347" s="83"/>
      <c r="Y347" s="83"/>
      <c r="Z347" s="83"/>
      <c r="AA347" s="83"/>
    </row>
    <row r="348" ht="15.75" customHeight="1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3"/>
      <c r="N348" s="84"/>
      <c r="O348" s="84"/>
      <c r="P348" s="83"/>
      <c r="Q348" s="83"/>
      <c r="R348" s="83"/>
      <c r="S348" s="83"/>
      <c r="T348" s="83"/>
      <c r="U348" s="83"/>
      <c r="V348" s="83"/>
      <c r="W348" s="83"/>
      <c r="X348" s="83"/>
      <c r="Y348" s="83"/>
      <c r="Z348" s="83"/>
      <c r="AA348" s="83"/>
    </row>
    <row r="349" ht="15.75" customHeight="1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3"/>
      <c r="N349" s="84"/>
      <c r="O349" s="84"/>
      <c r="P349" s="83"/>
      <c r="Q349" s="83"/>
      <c r="R349" s="83"/>
      <c r="S349" s="83"/>
      <c r="T349" s="83"/>
      <c r="U349" s="83"/>
      <c r="V349" s="83"/>
      <c r="W349" s="83"/>
      <c r="X349" s="83"/>
      <c r="Y349" s="83"/>
      <c r="Z349" s="83"/>
      <c r="AA349" s="83"/>
    </row>
    <row r="350" ht="15.75" customHeight="1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3"/>
      <c r="N350" s="84"/>
      <c r="O350" s="84"/>
      <c r="P350" s="83"/>
      <c r="Q350" s="83"/>
      <c r="R350" s="83"/>
      <c r="S350" s="83"/>
      <c r="T350" s="83"/>
      <c r="U350" s="83"/>
      <c r="V350" s="83"/>
      <c r="W350" s="83"/>
      <c r="X350" s="83"/>
      <c r="Y350" s="83"/>
      <c r="Z350" s="83"/>
      <c r="AA350" s="83"/>
    </row>
    <row r="351" ht="15.75" customHeight="1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3"/>
      <c r="N351" s="84"/>
      <c r="O351" s="84"/>
      <c r="P351" s="83"/>
      <c r="Q351" s="83"/>
      <c r="R351" s="83"/>
      <c r="S351" s="83"/>
      <c r="T351" s="83"/>
      <c r="U351" s="83"/>
      <c r="V351" s="83"/>
      <c r="W351" s="83"/>
      <c r="X351" s="83"/>
      <c r="Y351" s="83"/>
      <c r="Z351" s="83"/>
      <c r="AA351" s="83"/>
    </row>
    <row r="352" ht="15.75" customHeight="1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3"/>
      <c r="N352" s="84"/>
      <c r="O352" s="84"/>
      <c r="P352" s="83"/>
      <c r="Q352" s="83"/>
      <c r="R352" s="83"/>
      <c r="S352" s="83"/>
      <c r="T352" s="83"/>
      <c r="U352" s="83"/>
      <c r="V352" s="83"/>
      <c r="W352" s="83"/>
      <c r="X352" s="83"/>
      <c r="Y352" s="83"/>
      <c r="Z352" s="83"/>
      <c r="AA352" s="83"/>
    </row>
    <row r="353" ht="15.75" customHeight="1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3"/>
      <c r="N353" s="84"/>
      <c r="O353" s="84"/>
      <c r="P353" s="83"/>
      <c r="Q353" s="83"/>
      <c r="R353" s="83"/>
      <c r="S353" s="83"/>
      <c r="T353" s="83"/>
      <c r="U353" s="83"/>
      <c r="V353" s="83"/>
      <c r="W353" s="83"/>
      <c r="X353" s="83"/>
      <c r="Y353" s="83"/>
      <c r="Z353" s="83"/>
      <c r="AA353" s="83"/>
    </row>
    <row r="354" ht="15.75" customHeight="1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3"/>
      <c r="N354" s="84"/>
      <c r="O354" s="84"/>
      <c r="P354" s="83"/>
      <c r="Q354" s="83"/>
      <c r="R354" s="83"/>
      <c r="S354" s="83"/>
      <c r="T354" s="83"/>
      <c r="U354" s="83"/>
      <c r="V354" s="83"/>
      <c r="W354" s="83"/>
      <c r="X354" s="83"/>
      <c r="Y354" s="83"/>
      <c r="Z354" s="83"/>
      <c r="AA354" s="83"/>
    </row>
    <row r="355" ht="15.75" customHeight="1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3"/>
      <c r="N355" s="84"/>
      <c r="O355" s="84"/>
      <c r="P355" s="83"/>
      <c r="Q355" s="83"/>
      <c r="R355" s="83"/>
      <c r="S355" s="83"/>
      <c r="T355" s="83"/>
      <c r="U355" s="83"/>
      <c r="V355" s="83"/>
      <c r="W355" s="83"/>
      <c r="X355" s="83"/>
      <c r="Y355" s="83"/>
      <c r="Z355" s="83"/>
      <c r="AA355" s="83"/>
    </row>
    <row r="356" ht="15.75" customHeight="1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3"/>
      <c r="N356" s="84"/>
      <c r="O356" s="84"/>
      <c r="P356" s="83"/>
      <c r="Q356" s="83"/>
      <c r="R356" s="83"/>
      <c r="S356" s="83"/>
      <c r="T356" s="83"/>
      <c r="U356" s="83"/>
      <c r="V356" s="83"/>
      <c r="W356" s="83"/>
      <c r="X356" s="83"/>
      <c r="Y356" s="83"/>
      <c r="Z356" s="83"/>
      <c r="AA356" s="83"/>
    </row>
    <row r="357" ht="15.75" customHeight="1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3"/>
      <c r="N357" s="84"/>
      <c r="O357" s="84"/>
      <c r="P357" s="83"/>
      <c r="Q357" s="83"/>
      <c r="R357" s="83"/>
      <c r="S357" s="83"/>
      <c r="T357" s="83"/>
      <c r="U357" s="83"/>
      <c r="V357" s="83"/>
      <c r="W357" s="83"/>
      <c r="X357" s="83"/>
      <c r="Y357" s="83"/>
      <c r="Z357" s="83"/>
      <c r="AA357" s="83"/>
    </row>
    <row r="358" ht="15.75" customHeight="1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3"/>
      <c r="N358" s="84"/>
      <c r="O358" s="84"/>
      <c r="P358" s="83"/>
      <c r="Q358" s="83"/>
      <c r="R358" s="83"/>
      <c r="S358" s="83"/>
      <c r="T358" s="83"/>
      <c r="U358" s="83"/>
      <c r="V358" s="83"/>
      <c r="W358" s="83"/>
      <c r="X358" s="83"/>
      <c r="Y358" s="83"/>
      <c r="Z358" s="83"/>
      <c r="AA358" s="83"/>
    </row>
    <row r="359" ht="15.75" customHeight="1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3"/>
      <c r="N359" s="84"/>
      <c r="O359" s="84"/>
      <c r="P359" s="83"/>
      <c r="Q359" s="83"/>
      <c r="R359" s="83"/>
      <c r="S359" s="83"/>
      <c r="T359" s="83"/>
      <c r="U359" s="83"/>
      <c r="V359" s="83"/>
      <c r="W359" s="83"/>
      <c r="X359" s="83"/>
      <c r="Y359" s="83"/>
      <c r="Z359" s="83"/>
      <c r="AA359" s="83"/>
    </row>
    <row r="360" ht="15.75" customHeight="1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3"/>
      <c r="N360" s="84"/>
      <c r="O360" s="84"/>
      <c r="P360" s="83"/>
      <c r="Q360" s="83"/>
      <c r="R360" s="83"/>
      <c r="S360" s="83"/>
      <c r="T360" s="83"/>
      <c r="U360" s="83"/>
      <c r="V360" s="83"/>
      <c r="W360" s="83"/>
      <c r="X360" s="83"/>
      <c r="Y360" s="83"/>
      <c r="Z360" s="83"/>
      <c r="AA360" s="83"/>
    </row>
    <row r="361" ht="15.75" customHeight="1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3"/>
      <c r="N361" s="84"/>
      <c r="O361" s="84"/>
      <c r="P361" s="83"/>
      <c r="Q361" s="83"/>
      <c r="R361" s="83"/>
      <c r="S361" s="83"/>
      <c r="T361" s="83"/>
      <c r="U361" s="83"/>
      <c r="V361" s="83"/>
      <c r="W361" s="83"/>
      <c r="X361" s="83"/>
      <c r="Y361" s="83"/>
      <c r="Z361" s="83"/>
      <c r="AA361" s="83"/>
    </row>
    <row r="362" ht="15.75" customHeight="1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3"/>
      <c r="N362" s="84"/>
      <c r="O362" s="84"/>
      <c r="P362" s="83"/>
      <c r="Q362" s="83"/>
      <c r="R362" s="83"/>
      <c r="S362" s="83"/>
      <c r="T362" s="83"/>
      <c r="U362" s="83"/>
      <c r="V362" s="83"/>
      <c r="W362" s="83"/>
      <c r="X362" s="83"/>
      <c r="Y362" s="83"/>
      <c r="Z362" s="83"/>
      <c r="AA362" s="83"/>
    </row>
    <row r="363" ht="15.75" customHeight="1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3"/>
      <c r="N363" s="84"/>
      <c r="O363" s="84"/>
      <c r="P363" s="83"/>
      <c r="Q363" s="83"/>
      <c r="R363" s="83"/>
      <c r="S363" s="83"/>
      <c r="T363" s="83"/>
      <c r="U363" s="83"/>
      <c r="V363" s="83"/>
      <c r="W363" s="83"/>
      <c r="X363" s="83"/>
      <c r="Y363" s="83"/>
      <c r="Z363" s="83"/>
      <c r="AA363" s="83"/>
    </row>
    <row r="364" ht="15.75" customHeight="1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3"/>
      <c r="N364" s="84"/>
      <c r="O364" s="84"/>
      <c r="P364" s="83"/>
      <c r="Q364" s="83"/>
      <c r="R364" s="83"/>
      <c r="S364" s="83"/>
      <c r="T364" s="83"/>
      <c r="U364" s="83"/>
      <c r="V364" s="83"/>
      <c r="W364" s="83"/>
      <c r="X364" s="83"/>
      <c r="Y364" s="83"/>
      <c r="Z364" s="83"/>
      <c r="AA364" s="83"/>
    </row>
    <row r="365" ht="15.75" customHeight="1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3"/>
      <c r="N365" s="84"/>
      <c r="O365" s="84"/>
      <c r="P365" s="83"/>
      <c r="Q365" s="83"/>
      <c r="R365" s="83"/>
      <c r="S365" s="83"/>
      <c r="T365" s="83"/>
      <c r="U365" s="83"/>
      <c r="V365" s="83"/>
      <c r="W365" s="83"/>
      <c r="X365" s="83"/>
      <c r="Y365" s="83"/>
      <c r="Z365" s="83"/>
      <c r="AA365" s="83"/>
    </row>
    <row r="366" ht="15.75" customHeight="1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3"/>
      <c r="N366" s="84"/>
      <c r="O366" s="84"/>
      <c r="P366" s="83"/>
      <c r="Q366" s="83"/>
      <c r="R366" s="83"/>
      <c r="S366" s="83"/>
      <c r="T366" s="83"/>
      <c r="U366" s="83"/>
      <c r="V366" s="83"/>
      <c r="W366" s="83"/>
      <c r="X366" s="83"/>
      <c r="Y366" s="83"/>
      <c r="Z366" s="83"/>
      <c r="AA366" s="83"/>
    </row>
    <row r="367" ht="15.75" customHeight="1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3"/>
      <c r="N367" s="84"/>
      <c r="O367" s="84"/>
      <c r="P367" s="83"/>
      <c r="Q367" s="83"/>
      <c r="R367" s="83"/>
      <c r="S367" s="83"/>
      <c r="T367" s="83"/>
      <c r="U367" s="83"/>
      <c r="V367" s="83"/>
      <c r="W367" s="83"/>
      <c r="X367" s="83"/>
      <c r="Y367" s="83"/>
      <c r="Z367" s="83"/>
      <c r="AA367" s="83"/>
    </row>
    <row r="368" ht="15.75" customHeight="1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3"/>
      <c r="N368" s="84"/>
      <c r="O368" s="84"/>
      <c r="P368" s="83"/>
      <c r="Q368" s="83"/>
      <c r="R368" s="83"/>
      <c r="S368" s="83"/>
      <c r="T368" s="83"/>
      <c r="U368" s="83"/>
      <c r="V368" s="83"/>
      <c r="W368" s="83"/>
      <c r="X368" s="83"/>
      <c r="Y368" s="83"/>
      <c r="Z368" s="83"/>
      <c r="AA368" s="83"/>
    </row>
    <row r="369" ht="15.75" customHeight="1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3"/>
      <c r="N369" s="84"/>
      <c r="O369" s="84"/>
      <c r="P369" s="83"/>
      <c r="Q369" s="83"/>
      <c r="R369" s="83"/>
      <c r="S369" s="83"/>
      <c r="T369" s="83"/>
      <c r="U369" s="83"/>
      <c r="V369" s="83"/>
      <c r="W369" s="83"/>
      <c r="X369" s="83"/>
      <c r="Y369" s="83"/>
      <c r="Z369" s="83"/>
      <c r="AA369" s="83"/>
    </row>
    <row r="370" ht="15.75" customHeight="1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3"/>
      <c r="N370" s="84"/>
      <c r="O370" s="84"/>
      <c r="P370" s="83"/>
      <c r="Q370" s="83"/>
      <c r="R370" s="83"/>
      <c r="S370" s="83"/>
      <c r="T370" s="83"/>
      <c r="U370" s="83"/>
      <c r="V370" s="83"/>
      <c r="W370" s="83"/>
      <c r="X370" s="83"/>
      <c r="Y370" s="83"/>
      <c r="Z370" s="83"/>
      <c r="AA370" s="83"/>
    </row>
    <row r="371" ht="15.75" customHeight="1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3"/>
      <c r="N371" s="84"/>
      <c r="O371" s="84"/>
      <c r="P371" s="83"/>
      <c r="Q371" s="83"/>
      <c r="R371" s="83"/>
      <c r="S371" s="83"/>
      <c r="T371" s="83"/>
      <c r="U371" s="83"/>
      <c r="V371" s="83"/>
      <c r="W371" s="83"/>
      <c r="X371" s="83"/>
      <c r="Y371" s="83"/>
      <c r="Z371" s="83"/>
      <c r="AA371" s="83"/>
    </row>
    <row r="372" ht="15.75" customHeight="1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3"/>
      <c r="N372" s="84"/>
      <c r="O372" s="84"/>
      <c r="P372" s="83"/>
      <c r="Q372" s="83"/>
      <c r="R372" s="83"/>
      <c r="S372" s="83"/>
      <c r="T372" s="83"/>
      <c r="U372" s="83"/>
      <c r="V372" s="83"/>
      <c r="W372" s="83"/>
      <c r="X372" s="83"/>
      <c r="Y372" s="83"/>
      <c r="Z372" s="83"/>
      <c r="AA372" s="83"/>
    </row>
    <row r="373" ht="15.75" customHeight="1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3"/>
      <c r="N373" s="84"/>
      <c r="O373" s="84"/>
      <c r="P373" s="83"/>
      <c r="Q373" s="83"/>
      <c r="R373" s="83"/>
      <c r="S373" s="83"/>
      <c r="T373" s="83"/>
      <c r="U373" s="83"/>
      <c r="V373" s="83"/>
      <c r="W373" s="83"/>
      <c r="X373" s="83"/>
      <c r="Y373" s="83"/>
      <c r="Z373" s="83"/>
      <c r="AA373" s="83"/>
    </row>
    <row r="374" ht="15.75" customHeight="1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3"/>
      <c r="N374" s="84"/>
      <c r="O374" s="84"/>
      <c r="P374" s="83"/>
      <c r="Q374" s="83"/>
      <c r="R374" s="83"/>
      <c r="S374" s="83"/>
      <c r="T374" s="83"/>
      <c r="U374" s="83"/>
      <c r="V374" s="83"/>
      <c r="W374" s="83"/>
      <c r="X374" s="83"/>
      <c r="Y374" s="83"/>
      <c r="Z374" s="83"/>
      <c r="AA374" s="83"/>
    </row>
    <row r="375" ht="15.75" customHeight="1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3"/>
      <c r="N375" s="84"/>
      <c r="O375" s="84"/>
      <c r="P375" s="83"/>
      <c r="Q375" s="83"/>
      <c r="R375" s="83"/>
      <c r="S375" s="83"/>
      <c r="T375" s="83"/>
      <c r="U375" s="83"/>
      <c r="V375" s="83"/>
      <c r="W375" s="83"/>
      <c r="X375" s="83"/>
      <c r="Y375" s="83"/>
      <c r="Z375" s="83"/>
      <c r="AA375" s="83"/>
    </row>
    <row r="376" ht="15.75" customHeight="1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3"/>
      <c r="N376" s="84"/>
      <c r="O376" s="84"/>
      <c r="P376" s="83"/>
      <c r="Q376" s="83"/>
      <c r="R376" s="83"/>
      <c r="S376" s="83"/>
      <c r="T376" s="83"/>
      <c r="U376" s="83"/>
      <c r="V376" s="83"/>
      <c r="W376" s="83"/>
      <c r="X376" s="83"/>
      <c r="Y376" s="83"/>
      <c r="Z376" s="83"/>
      <c r="AA376" s="83"/>
    </row>
    <row r="377" ht="15.75" customHeight="1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3"/>
      <c r="N377" s="84"/>
      <c r="O377" s="84"/>
      <c r="P377" s="83"/>
      <c r="Q377" s="83"/>
      <c r="R377" s="83"/>
      <c r="S377" s="83"/>
      <c r="T377" s="83"/>
      <c r="U377" s="83"/>
      <c r="V377" s="83"/>
      <c r="W377" s="83"/>
      <c r="X377" s="83"/>
      <c r="Y377" s="83"/>
      <c r="Z377" s="83"/>
      <c r="AA377" s="83"/>
    </row>
    <row r="378" ht="15.75" customHeight="1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3"/>
      <c r="N378" s="84"/>
      <c r="O378" s="84"/>
      <c r="P378" s="83"/>
      <c r="Q378" s="83"/>
      <c r="R378" s="83"/>
      <c r="S378" s="83"/>
      <c r="T378" s="83"/>
      <c r="U378" s="83"/>
      <c r="V378" s="83"/>
      <c r="W378" s="83"/>
      <c r="X378" s="83"/>
      <c r="Y378" s="83"/>
      <c r="Z378" s="83"/>
      <c r="AA378" s="83"/>
    </row>
    <row r="379" ht="15.75" customHeight="1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3"/>
      <c r="N379" s="84"/>
      <c r="O379" s="84"/>
      <c r="P379" s="83"/>
      <c r="Q379" s="83"/>
      <c r="R379" s="83"/>
      <c r="S379" s="83"/>
      <c r="T379" s="83"/>
      <c r="U379" s="83"/>
      <c r="V379" s="83"/>
      <c r="W379" s="83"/>
      <c r="X379" s="83"/>
      <c r="Y379" s="83"/>
      <c r="Z379" s="83"/>
      <c r="AA379" s="83"/>
    </row>
    <row r="380" ht="15.75" customHeight="1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3"/>
      <c r="N380" s="84"/>
      <c r="O380" s="84"/>
      <c r="P380" s="83"/>
      <c r="Q380" s="83"/>
      <c r="R380" s="83"/>
      <c r="S380" s="83"/>
      <c r="T380" s="83"/>
      <c r="U380" s="83"/>
      <c r="V380" s="83"/>
      <c r="W380" s="83"/>
      <c r="X380" s="83"/>
      <c r="Y380" s="83"/>
      <c r="Z380" s="83"/>
      <c r="AA380" s="83"/>
    </row>
    <row r="381" ht="15.75" customHeight="1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4"/>
      <c r="O381" s="84"/>
      <c r="P381" s="83"/>
      <c r="Q381" s="83"/>
      <c r="R381" s="83"/>
      <c r="S381" s="83"/>
      <c r="T381" s="83"/>
      <c r="U381" s="83"/>
      <c r="V381" s="83"/>
      <c r="W381" s="83"/>
      <c r="X381" s="83"/>
      <c r="Y381" s="83"/>
      <c r="Z381" s="83"/>
      <c r="AA381" s="83"/>
    </row>
    <row r="382" ht="15.75" customHeight="1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3"/>
      <c r="N382" s="84"/>
      <c r="O382" s="84"/>
      <c r="P382" s="83"/>
      <c r="Q382" s="83"/>
      <c r="R382" s="83"/>
      <c r="S382" s="83"/>
      <c r="T382" s="83"/>
      <c r="U382" s="83"/>
      <c r="V382" s="83"/>
      <c r="W382" s="83"/>
      <c r="X382" s="83"/>
      <c r="Y382" s="83"/>
      <c r="Z382" s="83"/>
      <c r="AA382" s="83"/>
    </row>
    <row r="383" ht="15.75" customHeight="1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3"/>
      <c r="N383" s="84"/>
      <c r="O383" s="84"/>
      <c r="P383" s="83"/>
      <c r="Q383" s="83"/>
      <c r="R383" s="83"/>
      <c r="S383" s="83"/>
      <c r="T383" s="83"/>
      <c r="U383" s="83"/>
      <c r="V383" s="83"/>
      <c r="W383" s="83"/>
      <c r="X383" s="83"/>
      <c r="Y383" s="83"/>
      <c r="Z383" s="83"/>
      <c r="AA383" s="83"/>
    </row>
    <row r="384" ht="15.75" customHeight="1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3"/>
      <c r="N384" s="84"/>
      <c r="O384" s="84"/>
      <c r="P384" s="83"/>
      <c r="Q384" s="83"/>
      <c r="R384" s="83"/>
      <c r="S384" s="83"/>
      <c r="T384" s="83"/>
      <c r="U384" s="83"/>
      <c r="V384" s="83"/>
      <c r="W384" s="83"/>
      <c r="X384" s="83"/>
      <c r="Y384" s="83"/>
      <c r="Z384" s="83"/>
      <c r="AA384" s="83"/>
    </row>
    <row r="385" ht="15.75" customHeight="1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3"/>
      <c r="N385" s="84"/>
      <c r="O385" s="84"/>
      <c r="P385" s="83"/>
      <c r="Q385" s="83"/>
      <c r="R385" s="83"/>
      <c r="S385" s="83"/>
      <c r="T385" s="83"/>
      <c r="U385" s="83"/>
      <c r="V385" s="83"/>
      <c r="W385" s="83"/>
      <c r="X385" s="83"/>
      <c r="Y385" s="83"/>
      <c r="Z385" s="83"/>
      <c r="AA385" s="83"/>
    </row>
    <row r="386" ht="15.75" customHeight="1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3"/>
      <c r="N386" s="84"/>
      <c r="O386" s="84"/>
      <c r="P386" s="83"/>
      <c r="Q386" s="83"/>
      <c r="R386" s="83"/>
      <c r="S386" s="83"/>
      <c r="T386" s="83"/>
      <c r="U386" s="83"/>
      <c r="V386" s="83"/>
      <c r="W386" s="83"/>
      <c r="X386" s="83"/>
      <c r="Y386" s="83"/>
      <c r="Z386" s="83"/>
      <c r="AA386" s="83"/>
    </row>
    <row r="387" ht="15.75" customHeight="1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3"/>
      <c r="N387" s="84"/>
      <c r="O387" s="84"/>
      <c r="P387" s="83"/>
      <c r="Q387" s="83"/>
      <c r="R387" s="83"/>
      <c r="S387" s="83"/>
      <c r="T387" s="83"/>
      <c r="U387" s="83"/>
      <c r="V387" s="83"/>
      <c r="W387" s="83"/>
      <c r="X387" s="83"/>
      <c r="Y387" s="83"/>
      <c r="Z387" s="83"/>
      <c r="AA387" s="83"/>
    </row>
    <row r="388" ht="15.75" customHeight="1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3"/>
      <c r="N388" s="84"/>
      <c r="O388" s="84"/>
      <c r="P388" s="83"/>
      <c r="Q388" s="83"/>
      <c r="R388" s="83"/>
      <c r="S388" s="83"/>
      <c r="T388" s="83"/>
      <c r="U388" s="83"/>
      <c r="V388" s="83"/>
      <c r="W388" s="83"/>
      <c r="X388" s="83"/>
      <c r="Y388" s="83"/>
      <c r="Z388" s="83"/>
      <c r="AA388" s="83"/>
    </row>
    <row r="389" ht="15.75" customHeight="1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3"/>
      <c r="N389" s="84"/>
      <c r="O389" s="84"/>
      <c r="P389" s="83"/>
      <c r="Q389" s="83"/>
      <c r="R389" s="83"/>
      <c r="S389" s="83"/>
      <c r="T389" s="83"/>
      <c r="U389" s="83"/>
      <c r="V389" s="83"/>
      <c r="W389" s="83"/>
      <c r="X389" s="83"/>
      <c r="Y389" s="83"/>
      <c r="Z389" s="83"/>
      <c r="AA389" s="83"/>
    </row>
    <row r="390" ht="15.75" customHeight="1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3"/>
      <c r="N390" s="84"/>
      <c r="O390" s="84"/>
      <c r="P390" s="83"/>
      <c r="Q390" s="83"/>
      <c r="R390" s="83"/>
      <c r="S390" s="83"/>
      <c r="T390" s="83"/>
      <c r="U390" s="83"/>
      <c r="V390" s="83"/>
      <c r="W390" s="83"/>
      <c r="X390" s="83"/>
      <c r="Y390" s="83"/>
      <c r="Z390" s="83"/>
      <c r="AA390" s="83"/>
    </row>
    <row r="391" ht="15.75" customHeight="1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3"/>
      <c r="N391" s="84"/>
      <c r="O391" s="84"/>
      <c r="P391" s="83"/>
      <c r="Q391" s="83"/>
      <c r="R391" s="83"/>
      <c r="S391" s="83"/>
      <c r="T391" s="83"/>
      <c r="U391" s="83"/>
      <c r="V391" s="83"/>
      <c r="W391" s="83"/>
      <c r="X391" s="83"/>
      <c r="Y391" s="83"/>
      <c r="Z391" s="83"/>
      <c r="AA391" s="83"/>
    </row>
    <row r="392" ht="15.75" customHeight="1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3"/>
      <c r="N392" s="84"/>
      <c r="O392" s="84"/>
      <c r="P392" s="83"/>
      <c r="Q392" s="83"/>
      <c r="R392" s="83"/>
      <c r="S392" s="83"/>
      <c r="T392" s="83"/>
      <c r="U392" s="83"/>
      <c r="V392" s="83"/>
      <c r="W392" s="83"/>
      <c r="X392" s="83"/>
      <c r="Y392" s="83"/>
      <c r="Z392" s="83"/>
      <c r="AA392" s="83"/>
    </row>
    <row r="393" ht="15.75" customHeight="1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3"/>
      <c r="N393" s="84"/>
      <c r="O393" s="84"/>
      <c r="P393" s="83"/>
      <c r="Q393" s="83"/>
      <c r="R393" s="83"/>
      <c r="S393" s="83"/>
      <c r="T393" s="83"/>
      <c r="U393" s="83"/>
      <c r="V393" s="83"/>
      <c r="W393" s="83"/>
      <c r="X393" s="83"/>
      <c r="Y393" s="83"/>
      <c r="Z393" s="83"/>
      <c r="AA393" s="83"/>
    </row>
    <row r="394" ht="15.75" customHeight="1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3"/>
      <c r="N394" s="84"/>
      <c r="O394" s="84"/>
      <c r="P394" s="83"/>
      <c r="Q394" s="83"/>
      <c r="R394" s="83"/>
      <c r="S394" s="83"/>
      <c r="T394" s="83"/>
      <c r="U394" s="83"/>
      <c r="V394" s="83"/>
      <c r="W394" s="83"/>
      <c r="X394" s="83"/>
      <c r="Y394" s="83"/>
      <c r="Z394" s="83"/>
      <c r="AA394" s="83"/>
    </row>
    <row r="395" ht="15.75" customHeight="1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3"/>
      <c r="N395" s="84"/>
      <c r="O395" s="84"/>
      <c r="P395" s="83"/>
      <c r="Q395" s="83"/>
      <c r="R395" s="83"/>
      <c r="S395" s="83"/>
      <c r="T395" s="83"/>
      <c r="U395" s="83"/>
      <c r="V395" s="83"/>
      <c r="W395" s="83"/>
      <c r="X395" s="83"/>
      <c r="Y395" s="83"/>
      <c r="Z395" s="83"/>
      <c r="AA395" s="83"/>
    </row>
    <row r="396" ht="15.75" customHeight="1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3"/>
      <c r="N396" s="84"/>
      <c r="O396" s="84"/>
      <c r="P396" s="83"/>
      <c r="Q396" s="83"/>
      <c r="R396" s="83"/>
      <c r="S396" s="83"/>
      <c r="T396" s="83"/>
      <c r="U396" s="83"/>
      <c r="V396" s="83"/>
      <c r="W396" s="83"/>
      <c r="X396" s="83"/>
      <c r="Y396" s="83"/>
      <c r="Z396" s="83"/>
      <c r="AA396" s="83"/>
    </row>
    <row r="397" ht="15.75" customHeight="1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3"/>
      <c r="N397" s="84"/>
      <c r="O397" s="84"/>
      <c r="P397" s="83"/>
      <c r="Q397" s="83"/>
      <c r="R397" s="83"/>
      <c r="S397" s="83"/>
      <c r="T397" s="83"/>
      <c r="U397" s="83"/>
      <c r="V397" s="83"/>
      <c r="W397" s="83"/>
      <c r="X397" s="83"/>
      <c r="Y397" s="83"/>
      <c r="Z397" s="83"/>
      <c r="AA397" s="83"/>
    </row>
    <row r="398" ht="15.75" customHeight="1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3"/>
      <c r="N398" s="84"/>
      <c r="O398" s="84"/>
      <c r="P398" s="83"/>
      <c r="Q398" s="83"/>
      <c r="R398" s="83"/>
      <c r="S398" s="83"/>
      <c r="T398" s="83"/>
      <c r="U398" s="83"/>
      <c r="V398" s="83"/>
      <c r="W398" s="83"/>
      <c r="X398" s="83"/>
      <c r="Y398" s="83"/>
      <c r="Z398" s="83"/>
      <c r="AA398" s="83"/>
    </row>
    <row r="399" ht="15.75" customHeight="1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3"/>
      <c r="N399" s="84"/>
      <c r="O399" s="84"/>
      <c r="P399" s="83"/>
      <c r="Q399" s="83"/>
      <c r="R399" s="83"/>
      <c r="S399" s="83"/>
      <c r="T399" s="83"/>
      <c r="U399" s="83"/>
      <c r="V399" s="83"/>
      <c r="W399" s="83"/>
      <c r="X399" s="83"/>
      <c r="Y399" s="83"/>
      <c r="Z399" s="83"/>
      <c r="AA399" s="83"/>
    </row>
    <row r="400" ht="15.75" customHeight="1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3"/>
      <c r="N400" s="84"/>
      <c r="O400" s="84"/>
      <c r="P400" s="83"/>
      <c r="Q400" s="83"/>
      <c r="R400" s="83"/>
      <c r="S400" s="83"/>
      <c r="T400" s="83"/>
      <c r="U400" s="83"/>
      <c r="V400" s="83"/>
      <c r="W400" s="83"/>
      <c r="X400" s="83"/>
      <c r="Y400" s="83"/>
      <c r="Z400" s="83"/>
      <c r="AA400" s="83"/>
    </row>
    <row r="401" ht="15.75" customHeight="1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3"/>
      <c r="N401" s="84"/>
      <c r="O401" s="84"/>
      <c r="P401" s="83"/>
      <c r="Q401" s="83"/>
      <c r="R401" s="83"/>
      <c r="S401" s="83"/>
      <c r="T401" s="83"/>
      <c r="U401" s="83"/>
      <c r="V401" s="83"/>
      <c r="W401" s="83"/>
      <c r="X401" s="83"/>
      <c r="Y401" s="83"/>
      <c r="Z401" s="83"/>
      <c r="AA401" s="83"/>
    </row>
    <row r="402" ht="15.75" customHeight="1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3"/>
      <c r="N402" s="84"/>
      <c r="O402" s="84"/>
      <c r="P402" s="83"/>
      <c r="Q402" s="83"/>
      <c r="R402" s="83"/>
      <c r="S402" s="83"/>
      <c r="T402" s="83"/>
      <c r="U402" s="83"/>
      <c r="V402" s="83"/>
      <c r="W402" s="83"/>
      <c r="X402" s="83"/>
      <c r="Y402" s="83"/>
      <c r="Z402" s="83"/>
      <c r="AA402" s="83"/>
    </row>
    <row r="403" ht="15.75" customHeight="1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3"/>
      <c r="N403" s="84"/>
      <c r="O403" s="84"/>
      <c r="P403" s="83"/>
      <c r="Q403" s="83"/>
      <c r="R403" s="83"/>
      <c r="S403" s="83"/>
      <c r="T403" s="83"/>
      <c r="U403" s="83"/>
      <c r="V403" s="83"/>
      <c r="W403" s="83"/>
      <c r="X403" s="83"/>
      <c r="Y403" s="83"/>
      <c r="Z403" s="83"/>
      <c r="AA403" s="83"/>
    </row>
    <row r="404" ht="15.75" customHeight="1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3"/>
      <c r="N404" s="84"/>
      <c r="O404" s="84"/>
      <c r="P404" s="83"/>
      <c r="Q404" s="83"/>
      <c r="R404" s="83"/>
      <c r="S404" s="83"/>
      <c r="T404" s="83"/>
      <c r="U404" s="83"/>
      <c r="V404" s="83"/>
      <c r="W404" s="83"/>
      <c r="X404" s="83"/>
      <c r="Y404" s="83"/>
      <c r="Z404" s="83"/>
      <c r="AA404" s="83"/>
    </row>
    <row r="405" ht="15.75" customHeight="1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3"/>
      <c r="N405" s="84"/>
      <c r="O405" s="84"/>
      <c r="P405" s="83"/>
      <c r="Q405" s="83"/>
      <c r="R405" s="83"/>
      <c r="S405" s="83"/>
      <c r="T405" s="83"/>
      <c r="U405" s="83"/>
      <c r="V405" s="83"/>
      <c r="W405" s="83"/>
      <c r="X405" s="83"/>
      <c r="Y405" s="83"/>
      <c r="Z405" s="83"/>
      <c r="AA405" s="83"/>
    </row>
    <row r="406" ht="15.75" customHeight="1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3"/>
      <c r="N406" s="84"/>
      <c r="O406" s="84"/>
      <c r="P406" s="83"/>
      <c r="Q406" s="83"/>
      <c r="R406" s="83"/>
      <c r="S406" s="83"/>
      <c r="T406" s="83"/>
      <c r="U406" s="83"/>
      <c r="V406" s="83"/>
      <c r="W406" s="83"/>
      <c r="X406" s="83"/>
      <c r="Y406" s="83"/>
      <c r="Z406" s="83"/>
      <c r="AA406" s="83"/>
    </row>
    <row r="407" ht="15.75" customHeight="1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3"/>
      <c r="N407" s="84"/>
      <c r="O407" s="84"/>
      <c r="P407" s="83"/>
      <c r="Q407" s="83"/>
      <c r="R407" s="83"/>
      <c r="S407" s="83"/>
      <c r="T407" s="83"/>
      <c r="U407" s="83"/>
      <c r="V407" s="83"/>
      <c r="W407" s="83"/>
      <c r="X407" s="83"/>
      <c r="Y407" s="83"/>
      <c r="Z407" s="83"/>
      <c r="AA407" s="83"/>
    </row>
    <row r="408" ht="15.75" customHeight="1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3"/>
      <c r="N408" s="84"/>
      <c r="O408" s="84"/>
      <c r="P408" s="83"/>
      <c r="Q408" s="83"/>
      <c r="R408" s="83"/>
      <c r="S408" s="83"/>
      <c r="T408" s="83"/>
      <c r="U408" s="83"/>
      <c r="V408" s="83"/>
      <c r="W408" s="83"/>
      <c r="X408" s="83"/>
      <c r="Y408" s="83"/>
      <c r="Z408" s="83"/>
      <c r="AA408" s="83"/>
    </row>
    <row r="409" ht="15.75" customHeight="1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3"/>
      <c r="N409" s="84"/>
      <c r="O409" s="84"/>
      <c r="P409" s="83"/>
      <c r="Q409" s="83"/>
      <c r="R409" s="83"/>
      <c r="S409" s="83"/>
      <c r="T409" s="83"/>
      <c r="U409" s="83"/>
      <c r="V409" s="83"/>
      <c r="W409" s="83"/>
      <c r="X409" s="83"/>
      <c r="Y409" s="83"/>
      <c r="Z409" s="83"/>
      <c r="AA409" s="83"/>
    </row>
    <row r="410" ht="15.75" customHeight="1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3"/>
      <c r="N410" s="84"/>
      <c r="O410" s="84"/>
      <c r="P410" s="83"/>
      <c r="Q410" s="83"/>
      <c r="R410" s="83"/>
      <c r="S410" s="83"/>
      <c r="T410" s="83"/>
      <c r="U410" s="83"/>
      <c r="V410" s="83"/>
      <c r="W410" s="83"/>
      <c r="X410" s="83"/>
      <c r="Y410" s="83"/>
      <c r="Z410" s="83"/>
      <c r="AA410" s="83"/>
    </row>
    <row r="411" ht="15.75" customHeight="1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3"/>
      <c r="N411" s="84"/>
      <c r="O411" s="84"/>
      <c r="P411" s="83"/>
      <c r="Q411" s="83"/>
      <c r="R411" s="83"/>
      <c r="S411" s="83"/>
      <c r="T411" s="83"/>
      <c r="U411" s="83"/>
      <c r="V411" s="83"/>
      <c r="W411" s="83"/>
      <c r="X411" s="83"/>
      <c r="Y411" s="83"/>
      <c r="Z411" s="83"/>
      <c r="AA411" s="83"/>
    </row>
    <row r="412" ht="15.75" customHeight="1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3"/>
      <c r="N412" s="84"/>
      <c r="O412" s="84"/>
      <c r="P412" s="83"/>
      <c r="Q412" s="83"/>
      <c r="R412" s="83"/>
      <c r="S412" s="83"/>
      <c r="T412" s="83"/>
      <c r="U412" s="83"/>
      <c r="V412" s="83"/>
      <c r="W412" s="83"/>
      <c r="X412" s="83"/>
      <c r="Y412" s="83"/>
      <c r="Z412" s="83"/>
      <c r="AA412" s="83"/>
    </row>
    <row r="413" ht="15.75" customHeight="1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3"/>
      <c r="N413" s="84"/>
      <c r="O413" s="84"/>
      <c r="P413" s="83"/>
      <c r="Q413" s="83"/>
      <c r="R413" s="83"/>
      <c r="S413" s="83"/>
      <c r="T413" s="83"/>
      <c r="U413" s="83"/>
      <c r="V413" s="83"/>
      <c r="W413" s="83"/>
      <c r="X413" s="83"/>
      <c r="Y413" s="83"/>
      <c r="Z413" s="83"/>
      <c r="AA413" s="83"/>
    </row>
    <row r="414" ht="15.75" customHeight="1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4"/>
      <c r="O414" s="84"/>
      <c r="P414" s="83"/>
      <c r="Q414" s="83"/>
      <c r="R414" s="83"/>
      <c r="S414" s="83"/>
      <c r="T414" s="83"/>
      <c r="U414" s="83"/>
      <c r="V414" s="83"/>
      <c r="W414" s="83"/>
      <c r="X414" s="83"/>
      <c r="Y414" s="83"/>
      <c r="Z414" s="83"/>
      <c r="AA414" s="83"/>
    </row>
    <row r="415" ht="15.75" customHeight="1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3"/>
      <c r="N415" s="84"/>
      <c r="O415" s="84"/>
      <c r="P415" s="83"/>
      <c r="Q415" s="83"/>
      <c r="R415" s="83"/>
      <c r="S415" s="83"/>
      <c r="T415" s="83"/>
      <c r="U415" s="83"/>
      <c r="V415" s="83"/>
      <c r="W415" s="83"/>
      <c r="X415" s="83"/>
      <c r="Y415" s="83"/>
      <c r="Z415" s="83"/>
      <c r="AA415" s="83"/>
    </row>
    <row r="416" ht="15.75" customHeight="1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3"/>
      <c r="N416" s="84"/>
      <c r="O416" s="84"/>
      <c r="P416" s="83"/>
      <c r="Q416" s="83"/>
      <c r="R416" s="83"/>
      <c r="S416" s="83"/>
      <c r="T416" s="83"/>
      <c r="U416" s="83"/>
      <c r="V416" s="83"/>
      <c r="W416" s="83"/>
      <c r="X416" s="83"/>
      <c r="Y416" s="83"/>
      <c r="Z416" s="83"/>
      <c r="AA416" s="83"/>
    </row>
    <row r="417" ht="15.75" customHeight="1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3"/>
      <c r="N417" s="84"/>
      <c r="O417" s="84"/>
      <c r="P417" s="83"/>
      <c r="Q417" s="83"/>
      <c r="R417" s="83"/>
      <c r="S417" s="83"/>
      <c r="T417" s="83"/>
      <c r="U417" s="83"/>
      <c r="V417" s="83"/>
      <c r="W417" s="83"/>
      <c r="X417" s="83"/>
      <c r="Y417" s="83"/>
      <c r="Z417" s="83"/>
      <c r="AA417" s="83"/>
    </row>
    <row r="418" ht="15.75" customHeight="1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3"/>
      <c r="N418" s="84"/>
      <c r="O418" s="84"/>
      <c r="P418" s="83"/>
      <c r="Q418" s="83"/>
      <c r="R418" s="83"/>
      <c r="S418" s="83"/>
      <c r="T418" s="83"/>
      <c r="U418" s="83"/>
      <c r="V418" s="83"/>
      <c r="W418" s="83"/>
      <c r="X418" s="83"/>
      <c r="Y418" s="83"/>
      <c r="Z418" s="83"/>
      <c r="AA418" s="83"/>
    </row>
    <row r="419" ht="15.75" customHeight="1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3"/>
      <c r="N419" s="84"/>
      <c r="O419" s="84"/>
      <c r="P419" s="83"/>
      <c r="Q419" s="83"/>
      <c r="R419" s="83"/>
      <c r="S419" s="83"/>
      <c r="T419" s="83"/>
      <c r="U419" s="83"/>
      <c r="V419" s="83"/>
      <c r="W419" s="83"/>
      <c r="X419" s="83"/>
      <c r="Y419" s="83"/>
      <c r="Z419" s="83"/>
      <c r="AA419" s="83"/>
    </row>
    <row r="420" ht="15.75" customHeight="1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3"/>
      <c r="N420" s="84"/>
      <c r="O420" s="84"/>
      <c r="P420" s="83"/>
      <c r="Q420" s="83"/>
      <c r="R420" s="83"/>
      <c r="S420" s="83"/>
      <c r="T420" s="83"/>
      <c r="U420" s="83"/>
      <c r="V420" s="83"/>
      <c r="W420" s="83"/>
      <c r="X420" s="83"/>
      <c r="Y420" s="83"/>
      <c r="Z420" s="83"/>
      <c r="AA420" s="83"/>
    </row>
    <row r="421" ht="15.75" customHeight="1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3"/>
      <c r="N421" s="84"/>
      <c r="O421" s="84"/>
      <c r="P421" s="83"/>
      <c r="Q421" s="83"/>
      <c r="R421" s="83"/>
      <c r="S421" s="83"/>
      <c r="T421" s="83"/>
      <c r="U421" s="83"/>
      <c r="V421" s="83"/>
      <c r="W421" s="83"/>
      <c r="X421" s="83"/>
      <c r="Y421" s="83"/>
      <c r="Z421" s="83"/>
      <c r="AA421" s="83"/>
    </row>
    <row r="422" ht="15.75" customHeight="1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3"/>
      <c r="N422" s="84"/>
      <c r="O422" s="84"/>
      <c r="P422" s="83"/>
      <c r="Q422" s="83"/>
      <c r="R422" s="83"/>
      <c r="S422" s="83"/>
      <c r="T422" s="83"/>
      <c r="U422" s="83"/>
      <c r="V422" s="83"/>
      <c r="W422" s="83"/>
      <c r="X422" s="83"/>
      <c r="Y422" s="83"/>
      <c r="Z422" s="83"/>
      <c r="AA422" s="83"/>
    </row>
    <row r="423" ht="15.75" customHeight="1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3"/>
      <c r="N423" s="84"/>
      <c r="O423" s="84"/>
      <c r="P423" s="83"/>
      <c r="Q423" s="83"/>
      <c r="R423" s="83"/>
      <c r="S423" s="83"/>
      <c r="T423" s="83"/>
      <c r="U423" s="83"/>
      <c r="V423" s="83"/>
      <c r="W423" s="83"/>
      <c r="X423" s="83"/>
      <c r="Y423" s="83"/>
      <c r="Z423" s="83"/>
      <c r="AA423" s="83"/>
    </row>
    <row r="424" ht="15.75" customHeight="1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3"/>
      <c r="N424" s="84"/>
      <c r="O424" s="84"/>
      <c r="P424" s="83"/>
      <c r="Q424" s="83"/>
      <c r="R424" s="83"/>
      <c r="S424" s="83"/>
      <c r="T424" s="83"/>
      <c r="U424" s="83"/>
      <c r="V424" s="83"/>
      <c r="W424" s="83"/>
      <c r="X424" s="83"/>
      <c r="Y424" s="83"/>
      <c r="Z424" s="83"/>
      <c r="AA424" s="83"/>
    </row>
    <row r="425" ht="15.75" customHeight="1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3"/>
      <c r="N425" s="84"/>
      <c r="O425" s="84"/>
      <c r="P425" s="83"/>
      <c r="Q425" s="83"/>
      <c r="R425" s="83"/>
      <c r="S425" s="83"/>
      <c r="T425" s="83"/>
      <c r="U425" s="83"/>
      <c r="V425" s="83"/>
      <c r="W425" s="83"/>
      <c r="X425" s="83"/>
      <c r="Y425" s="83"/>
      <c r="Z425" s="83"/>
      <c r="AA425" s="83"/>
    </row>
    <row r="426" ht="15.75" customHeight="1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3"/>
      <c r="N426" s="84"/>
      <c r="O426" s="84"/>
      <c r="P426" s="83"/>
      <c r="Q426" s="83"/>
      <c r="R426" s="83"/>
      <c r="S426" s="83"/>
      <c r="T426" s="83"/>
      <c r="U426" s="83"/>
      <c r="V426" s="83"/>
      <c r="W426" s="83"/>
      <c r="X426" s="83"/>
      <c r="Y426" s="83"/>
      <c r="Z426" s="83"/>
      <c r="AA426" s="83"/>
    </row>
    <row r="427" ht="15.75" customHeight="1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3"/>
      <c r="N427" s="84"/>
      <c r="O427" s="84"/>
      <c r="P427" s="83"/>
      <c r="Q427" s="83"/>
      <c r="R427" s="83"/>
      <c r="S427" s="83"/>
      <c r="T427" s="83"/>
      <c r="U427" s="83"/>
      <c r="V427" s="83"/>
      <c r="W427" s="83"/>
      <c r="X427" s="83"/>
      <c r="Y427" s="83"/>
      <c r="Z427" s="83"/>
      <c r="AA427" s="83"/>
    </row>
    <row r="428" ht="15.75" customHeight="1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3"/>
      <c r="N428" s="84"/>
      <c r="O428" s="84"/>
      <c r="P428" s="83"/>
      <c r="Q428" s="83"/>
      <c r="R428" s="83"/>
      <c r="S428" s="83"/>
      <c r="T428" s="83"/>
      <c r="U428" s="83"/>
      <c r="V428" s="83"/>
      <c r="W428" s="83"/>
      <c r="X428" s="83"/>
      <c r="Y428" s="83"/>
      <c r="Z428" s="83"/>
      <c r="AA428" s="83"/>
    </row>
    <row r="429" ht="15.75" customHeight="1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3"/>
      <c r="N429" s="84"/>
      <c r="O429" s="84"/>
      <c r="P429" s="83"/>
      <c r="Q429" s="83"/>
      <c r="R429" s="83"/>
      <c r="S429" s="83"/>
      <c r="T429" s="83"/>
      <c r="U429" s="83"/>
      <c r="V429" s="83"/>
      <c r="W429" s="83"/>
      <c r="X429" s="83"/>
      <c r="Y429" s="83"/>
      <c r="Z429" s="83"/>
      <c r="AA429" s="83"/>
    </row>
    <row r="430" ht="15.75" customHeight="1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3"/>
      <c r="N430" s="84"/>
      <c r="O430" s="84"/>
      <c r="P430" s="83"/>
      <c r="Q430" s="83"/>
      <c r="R430" s="83"/>
      <c r="S430" s="83"/>
      <c r="T430" s="83"/>
      <c r="U430" s="83"/>
      <c r="V430" s="83"/>
      <c r="W430" s="83"/>
      <c r="X430" s="83"/>
      <c r="Y430" s="83"/>
      <c r="Z430" s="83"/>
      <c r="AA430" s="83"/>
    </row>
    <row r="431" ht="15.75" customHeight="1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3"/>
      <c r="N431" s="84"/>
      <c r="O431" s="84"/>
      <c r="P431" s="83"/>
      <c r="Q431" s="83"/>
      <c r="R431" s="83"/>
      <c r="S431" s="83"/>
      <c r="T431" s="83"/>
      <c r="U431" s="83"/>
      <c r="V431" s="83"/>
      <c r="W431" s="83"/>
      <c r="X431" s="83"/>
      <c r="Y431" s="83"/>
      <c r="Z431" s="83"/>
      <c r="AA431" s="83"/>
    </row>
    <row r="432" ht="15.75" customHeight="1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3"/>
      <c r="N432" s="84"/>
      <c r="O432" s="84"/>
      <c r="P432" s="83"/>
      <c r="Q432" s="83"/>
      <c r="R432" s="83"/>
      <c r="S432" s="83"/>
      <c r="T432" s="83"/>
      <c r="U432" s="83"/>
      <c r="V432" s="83"/>
      <c r="W432" s="83"/>
      <c r="X432" s="83"/>
      <c r="Y432" s="83"/>
      <c r="Z432" s="83"/>
      <c r="AA432" s="83"/>
    </row>
    <row r="433" ht="15.75" customHeight="1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3"/>
      <c r="N433" s="84"/>
      <c r="O433" s="84"/>
      <c r="P433" s="83"/>
      <c r="Q433" s="83"/>
      <c r="R433" s="83"/>
      <c r="S433" s="83"/>
      <c r="T433" s="83"/>
      <c r="U433" s="83"/>
      <c r="V433" s="83"/>
      <c r="W433" s="83"/>
      <c r="X433" s="83"/>
      <c r="Y433" s="83"/>
      <c r="Z433" s="83"/>
      <c r="AA433" s="83"/>
    </row>
    <row r="434" ht="15.75" customHeight="1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3"/>
      <c r="N434" s="84"/>
      <c r="O434" s="84"/>
      <c r="P434" s="83"/>
      <c r="Q434" s="83"/>
      <c r="R434" s="83"/>
      <c r="S434" s="83"/>
      <c r="T434" s="83"/>
      <c r="U434" s="83"/>
      <c r="V434" s="83"/>
      <c r="W434" s="83"/>
      <c r="X434" s="83"/>
      <c r="Y434" s="83"/>
      <c r="Z434" s="83"/>
      <c r="AA434" s="83"/>
    </row>
    <row r="435" ht="15.75" customHeight="1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3"/>
      <c r="N435" s="84"/>
      <c r="O435" s="84"/>
      <c r="P435" s="83"/>
      <c r="Q435" s="83"/>
      <c r="R435" s="83"/>
      <c r="S435" s="83"/>
      <c r="T435" s="83"/>
      <c r="U435" s="83"/>
      <c r="V435" s="83"/>
      <c r="W435" s="83"/>
      <c r="X435" s="83"/>
      <c r="Y435" s="83"/>
      <c r="Z435" s="83"/>
      <c r="AA435" s="83"/>
    </row>
    <row r="436" ht="15.75" customHeight="1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3"/>
      <c r="N436" s="84"/>
      <c r="O436" s="84"/>
      <c r="P436" s="83"/>
      <c r="Q436" s="83"/>
      <c r="R436" s="83"/>
      <c r="S436" s="83"/>
      <c r="T436" s="83"/>
      <c r="U436" s="83"/>
      <c r="V436" s="83"/>
      <c r="W436" s="83"/>
      <c r="X436" s="83"/>
      <c r="Y436" s="83"/>
      <c r="Z436" s="83"/>
      <c r="AA436" s="83"/>
    </row>
    <row r="437" ht="15.75" customHeight="1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3"/>
      <c r="N437" s="84"/>
      <c r="O437" s="84"/>
      <c r="P437" s="83"/>
      <c r="Q437" s="83"/>
      <c r="R437" s="83"/>
      <c r="S437" s="83"/>
      <c r="T437" s="83"/>
      <c r="U437" s="83"/>
      <c r="V437" s="83"/>
      <c r="W437" s="83"/>
      <c r="X437" s="83"/>
      <c r="Y437" s="83"/>
      <c r="Z437" s="83"/>
      <c r="AA437" s="83"/>
    </row>
    <row r="438" ht="15.75" customHeight="1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3"/>
      <c r="N438" s="84"/>
      <c r="O438" s="84"/>
      <c r="P438" s="83"/>
      <c r="Q438" s="83"/>
      <c r="R438" s="83"/>
      <c r="S438" s="83"/>
      <c r="T438" s="83"/>
      <c r="U438" s="83"/>
      <c r="V438" s="83"/>
      <c r="W438" s="83"/>
      <c r="X438" s="83"/>
      <c r="Y438" s="83"/>
      <c r="Z438" s="83"/>
      <c r="AA438" s="83"/>
    </row>
    <row r="439" ht="15.75" customHeight="1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3"/>
      <c r="N439" s="84"/>
      <c r="O439" s="84"/>
      <c r="P439" s="83"/>
      <c r="Q439" s="83"/>
      <c r="R439" s="83"/>
      <c r="S439" s="83"/>
      <c r="T439" s="83"/>
      <c r="U439" s="83"/>
      <c r="V439" s="83"/>
      <c r="W439" s="83"/>
      <c r="X439" s="83"/>
      <c r="Y439" s="83"/>
      <c r="Z439" s="83"/>
      <c r="AA439" s="83"/>
    </row>
    <row r="440" ht="15.75" customHeight="1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3"/>
      <c r="N440" s="84"/>
      <c r="O440" s="84"/>
      <c r="P440" s="83"/>
      <c r="Q440" s="83"/>
      <c r="R440" s="83"/>
      <c r="S440" s="83"/>
      <c r="T440" s="83"/>
      <c r="U440" s="83"/>
      <c r="V440" s="83"/>
      <c r="W440" s="83"/>
      <c r="X440" s="83"/>
      <c r="Y440" s="83"/>
      <c r="Z440" s="83"/>
      <c r="AA440" s="83"/>
    </row>
    <row r="441" ht="15.75" customHeight="1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3"/>
      <c r="N441" s="84"/>
      <c r="O441" s="84"/>
      <c r="P441" s="83"/>
      <c r="Q441" s="83"/>
      <c r="R441" s="83"/>
      <c r="S441" s="83"/>
      <c r="T441" s="83"/>
      <c r="U441" s="83"/>
      <c r="V441" s="83"/>
      <c r="W441" s="83"/>
      <c r="X441" s="83"/>
      <c r="Y441" s="83"/>
      <c r="Z441" s="83"/>
      <c r="AA441" s="83"/>
    </row>
    <row r="442" ht="15.75" customHeight="1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3"/>
      <c r="N442" s="84"/>
      <c r="O442" s="84"/>
      <c r="P442" s="83"/>
      <c r="Q442" s="83"/>
      <c r="R442" s="83"/>
      <c r="S442" s="83"/>
      <c r="T442" s="83"/>
      <c r="U442" s="83"/>
      <c r="V442" s="83"/>
      <c r="W442" s="83"/>
      <c r="X442" s="83"/>
      <c r="Y442" s="83"/>
      <c r="Z442" s="83"/>
      <c r="AA442" s="83"/>
    </row>
    <row r="443" ht="15.75" customHeight="1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3"/>
      <c r="N443" s="84"/>
      <c r="O443" s="84"/>
      <c r="P443" s="83"/>
      <c r="Q443" s="83"/>
      <c r="R443" s="83"/>
      <c r="S443" s="83"/>
      <c r="T443" s="83"/>
      <c r="U443" s="83"/>
      <c r="V443" s="83"/>
      <c r="W443" s="83"/>
      <c r="X443" s="83"/>
      <c r="Y443" s="83"/>
      <c r="Z443" s="83"/>
      <c r="AA443" s="83"/>
    </row>
    <row r="444" ht="15.75" customHeight="1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3"/>
      <c r="N444" s="84"/>
      <c r="O444" s="84"/>
      <c r="P444" s="83"/>
      <c r="Q444" s="83"/>
      <c r="R444" s="83"/>
      <c r="S444" s="83"/>
      <c r="T444" s="83"/>
      <c r="U444" s="83"/>
      <c r="V444" s="83"/>
      <c r="W444" s="83"/>
      <c r="X444" s="83"/>
      <c r="Y444" s="83"/>
      <c r="Z444" s="83"/>
      <c r="AA444" s="83"/>
    </row>
    <row r="445" ht="15.75" customHeight="1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3"/>
      <c r="N445" s="84"/>
      <c r="O445" s="84"/>
      <c r="P445" s="83"/>
      <c r="Q445" s="83"/>
      <c r="R445" s="83"/>
      <c r="S445" s="83"/>
      <c r="T445" s="83"/>
      <c r="U445" s="83"/>
      <c r="V445" s="83"/>
      <c r="W445" s="83"/>
      <c r="X445" s="83"/>
      <c r="Y445" s="83"/>
      <c r="Z445" s="83"/>
      <c r="AA445" s="83"/>
    </row>
    <row r="446" ht="15.75" customHeight="1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3"/>
      <c r="N446" s="84"/>
      <c r="O446" s="84"/>
      <c r="P446" s="83"/>
      <c r="Q446" s="83"/>
      <c r="R446" s="83"/>
      <c r="S446" s="83"/>
      <c r="T446" s="83"/>
      <c r="U446" s="83"/>
      <c r="V446" s="83"/>
      <c r="W446" s="83"/>
      <c r="X446" s="83"/>
      <c r="Y446" s="83"/>
      <c r="Z446" s="83"/>
      <c r="AA446" s="83"/>
    </row>
    <row r="447" ht="15.75" customHeight="1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3"/>
      <c r="N447" s="84"/>
      <c r="O447" s="84"/>
      <c r="P447" s="83"/>
      <c r="Q447" s="83"/>
      <c r="R447" s="83"/>
      <c r="S447" s="83"/>
      <c r="T447" s="83"/>
      <c r="U447" s="83"/>
      <c r="V447" s="83"/>
      <c r="W447" s="83"/>
      <c r="X447" s="83"/>
      <c r="Y447" s="83"/>
      <c r="Z447" s="83"/>
      <c r="AA447" s="83"/>
    </row>
    <row r="448" ht="15.75" customHeight="1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3"/>
      <c r="N448" s="84"/>
      <c r="O448" s="84"/>
      <c r="P448" s="83"/>
      <c r="Q448" s="83"/>
      <c r="R448" s="83"/>
      <c r="S448" s="83"/>
      <c r="T448" s="83"/>
      <c r="U448" s="83"/>
      <c r="V448" s="83"/>
      <c r="W448" s="83"/>
      <c r="X448" s="83"/>
      <c r="Y448" s="83"/>
      <c r="Z448" s="83"/>
      <c r="AA448" s="83"/>
    </row>
    <row r="449" ht="15.75" customHeight="1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4"/>
      <c r="O449" s="84"/>
      <c r="P449" s="83"/>
      <c r="Q449" s="83"/>
      <c r="R449" s="83"/>
      <c r="S449" s="83"/>
      <c r="T449" s="83"/>
      <c r="U449" s="83"/>
      <c r="V449" s="83"/>
      <c r="W449" s="83"/>
      <c r="X449" s="83"/>
      <c r="Y449" s="83"/>
      <c r="Z449" s="83"/>
      <c r="AA449" s="83"/>
    </row>
    <row r="450" ht="15.75" customHeight="1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3"/>
      <c r="N450" s="84"/>
      <c r="O450" s="84"/>
      <c r="P450" s="83"/>
      <c r="Q450" s="83"/>
      <c r="R450" s="83"/>
      <c r="S450" s="83"/>
      <c r="T450" s="83"/>
      <c r="U450" s="83"/>
      <c r="V450" s="83"/>
      <c r="W450" s="83"/>
      <c r="X450" s="83"/>
      <c r="Y450" s="83"/>
      <c r="Z450" s="83"/>
      <c r="AA450" s="83"/>
    </row>
    <row r="451" ht="15.75" customHeight="1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3"/>
      <c r="N451" s="84"/>
      <c r="O451" s="84"/>
      <c r="P451" s="83"/>
      <c r="Q451" s="83"/>
      <c r="R451" s="83"/>
      <c r="S451" s="83"/>
      <c r="T451" s="83"/>
      <c r="U451" s="83"/>
      <c r="V451" s="83"/>
      <c r="W451" s="83"/>
      <c r="X451" s="83"/>
      <c r="Y451" s="83"/>
      <c r="Z451" s="83"/>
      <c r="AA451" s="83"/>
    </row>
    <row r="452" ht="15.75" customHeight="1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3"/>
      <c r="N452" s="84"/>
      <c r="O452" s="84"/>
      <c r="P452" s="83"/>
      <c r="Q452" s="83"/>
      <c r="R452" s="83"/>
      <c r="S452" s="83"/>
      <c r="T452" s="83"/>
      <c r="U452" s="83"/>
      <c r="V452" s="83"/>
      <c r="W452" s="83"/>
      <c r="X452" s="83"/>
      <c r="Y452" s="83"/>
      <c r="Z452" s="83"/>
      <c r="AA452" s="83"/>
    </row>
    <row r="453" ht="15.75" customHeight="1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3"/>
      <c r="N453" s="84"/>
      <c r="O453" s="84"/>
      <c r="P453" s="83"/>
      <c r="Q453" s="83"/>
      <c r="R453" s="83"/>
      <c r="S453" s="83"/>
      <c r="T453" s="83"/>
      <c r="U453" s="83"/>
      <c r="V453" s="83"/>
      <c r="W453" s="83"/>
      <c r="X453" s="83"/>
      <c r="Y453" s="83"/>
      <c r="Z453" s="83"/>
      <c r="AA453" s="83"/>
    </row>
    <row r="454" ht="15.75" customHeight="1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3"/>
      <c r="N454" s="84"/>
      <c r="O454" s="84"/>
      <c r="P454" s="83"/>
      <c r="Q454" s="83"/>
      <c r="R454" s="83"/>
      <c r="S454" s="83"/>
      <c r="T454" s="83"/>
      <c r="U454" s="83"/>
      <c r="V454" s="83"/>
      <c r="W454" s="83"/>
      <c r="X454" s="83"/>
      <c r="Y454" s="83"/>
      <c r="Z454" s="83"/>
      <c r="AA454" s="83"/>
    </row>
    <row r="455" ht="15.75" customHeight="1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3"/>
      <c r="N455" s="84"/>
      <c r="O455" s="84"/>
      <c r="P455" s="83"/>
      <c r="Q455" s="83"/>
      <c r="R455" s="83"/>
      <c r="S455" s="83"/>
      <c r="T455" s="83"/>
      <c r="U455" s="83"/>
      <c r="V455" s="83"/>
      <c r="W455" s="83"/>
      <c r="X455" s="83"/>
      <c r="Y455" s="83"/>
      <c r="Z455" s="83"/>
      <c r="AA455" s="83"/>
    </row>
    <row r="456" ht="15.75" customHeight="1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3"/>
      <c r="N456" s="84"/>
      <c r="O456" s="84"/>
      <c r="P456" s="83"/>
      <c r="Q456" s="83"/>
      <c r="R456" s="83"/>
      <c r="S456" s="83"/>
      <c r="T456" s="83"/>
      <c r="U456" s="83"/>
      <c r="V456" s="83"/>
      <c r="W456" s="83"/>
      <c r="X456" s="83"/>
      <c r="Y456" s="83"/>
      <c r="Z456" s="83"/>
      <c r="AA456" s="83"/>
    </row>
    <row r="457" ht="15.75" customHeight="1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3"/>
      <c r="N457" s="84"/>
      <c r="O457" s="84"/>
      <c r="P457" s="83"/>
      <c r="Q457" s="83"/>
      <c r="R457" s="83"/>
      <c r="S457" s="83"/>
      <c r="T457" s="83"/>
      <c r="U457" s="83"/>
      <c r="V457" s="83"/>
      <c r="W457" s="83"/>
      <c r="X457" s="83"/>
      <c r="Y457" s="83"/>
      <c r="Z457" s="83"/>
      <c r="AA457" s="83"/>
    </row>
    <row r="458" ht="15.75" customHeight="1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3"/>
      <c r="N458" s="84"/>
      <c r="O458" s="84"/>
      <c r="P458" s="83"/>
      <c r="Q458" s="83"/>
      <c r="R458" s="83"/>
      <c r="S458" s="83"/>
      <c r="T458" s="83"/>
      <c r="U458" s="83"/>
      <c r="V458" s="83"/>
      <c r="W458" s="83"/>
      <c r="X458" s="83"/>
      <c r="Y458" s="83"/>
      <c r="Z458" s="83"/>
      <c r="AA458" s="83"/>
    </row>
    <row r="459" ht="15.75" customHeight="1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3"/>
      <c r="N459" s="84"/>
      <c r="O459" s="84"/>
      <c r="P459" s="83"/>
      <c r="Q459" s="83"/>
      <c r="R459" s="83"/>
      <c r="S459" s="83"/>
      <c r="T459" s="83"/>
      <c r="U459" s="83"/>
      <c r="V459" s="83"/>
      <c r="W459" s="83"/>
      <c r="X459" s="83"/>
      <c r="Y459" s="83"/>
      <c r="Z459" s="83"/>
      <c r="AA459" s="83"/>
    </row>
    <row r="460" ht="15.75" customHeight="1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3"/>
      <c r="N460" s="84"/>
      <c r="O460" s="84"/>
      <c r="P460" s="83"/>
      <c r="Q460" s="83"/>
      <c r="R460" s="83"/>
      <c r="S460" s="83"/>
      <c r="T460" s="83"/>
      <c r="U460" s="83"/>
      <c r="V460" s="83"/>
      <c r="W460" s="83"/>
      <c r="X460" s="83"/>
      <c r="Y460" s="83"/>
      <c r="Z460" s="83"/>
      <c r="AA460" s="83"/>
    </row>
    <row r="461" ht="15.75" customHeight="1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3"/>
      <c r="N461" s="84"/>
      <c r="O461" s="84"/>
      <c r="P461" s="83"/>
      <c r="Q461" s="83"/>
      <c r="R461" s="83"/>
      <c r="S461" s="83"/>
      <c r="T461" s="83"/>
      <c r="U461" s="83"/>
      <c r="V461" s="83"/>
      <c r="W461" s="83"/>
      <c r="X461" s="83"/>
      <c r="Y461" s="83"/>
      <c r="Z461" s="83"/>
      <c r="AA461" s="83"/>
    </row>
    <row r="462" ht="15.75" customHeight="1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3"/>
      <c r="N462" s="84"/>
      <c r="O462" s="84"/>
      <c r="P462" s="83"/>
      <c r="Q462" s="83"/>
      <c r="R462" s="83"/>
      <c r="S462" s="83"/>
      <c r="T462" s="83"/>
      <c r="U462" s="83"/>
      <c r="V462" s="83"/>
      <c r="W462" s="83"/>
      <c r="X462" s="83"/>
      <c r="Y462" s="83"/>
      <c r="Z462" s="83"/>
      <c r="AA462" s="83"/>
    </row>
    <row r="463" ht="15.75" customHeight="1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3"/>
      <c r="N463" s="84"/>
      <c r="O463" s="84"/>
      <c r="P463" s="83"/>
      <c r="Q463" s="83"/>
      <c r="R463" s="83"/>
      <c r="S463" s="83"/>
      <c r="T463" s="83"/>
      <c r="U463" s="83"/>
      <c r="V463" s="83"/>
      <c r="W463" s="83"/>
      <c r="X463" s="83"/>
      <c r="Y463" s="83"/>
      <c r="Z463" s="83"/>
      <c r="AA463" s="83"/>
    </row>
    <row r="464" ht="15.75" customHeight="1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3"/>
      <c r="N464" s="84"/>
      <c r="O464" s="84"/>
      <c r="P464" s="83"/>
      <c r="Q464" s="83"/>
      <c r="R464" s="83"/>
      <c r="S464" s="83"/>
      <c r="T464" s="83"/>
      <c r="U464" s="83"/>
      <c r="V464" s="83"/>
      <c r="W464" s="83"/>
      <c r="X464" s="83"/>
      <c r="Y464" s="83"/>
      <c r="Z464" s="83"/>
      <c r="AA464" s="83"/>
    </row>
    <row r="465" ht="15.75" customHeight="1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3"/>
      <c r="N465" s="84"/>
      <c r="O465" s="84"/>
      <c r="P465" s="83"/>
      <c r="Q465" s="83"/>
      <c r="R465" s="83"/>
      <c r="S465" s="83"/>
      <c r="T465" s="83"/>
      <c r="U465" s="83"/>
      <c r="V465" s="83"/>
      <c r="W465" s="83"/>
      <c r="X465" s="83"/>
      <c r="Y465" s="83"/>
      <c r="Z465" s="83"/>
      <c r="AA465" s="83"/>
    </row>
    <row r="466" ht="15.75" customHeight="1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3"/>
      <c r="N466" s="84"/>
      <c r="O466" s="84"/>
      <c r="P466" s="83"/>
      <c r="Q466" s="83"/>
      <c r="R466" s="83"/>
      <c r="S466" s="83"/>
      <c r="T466" s="83"/>
      <c r="U466" s="83"/>
      <c r="V466" s="83"/>
      <c r="W466" s="83"/>
      <c r="X466" s="83"/>
      <c r="Y466" s="83"/>
      <c r="Z466" s="83"/>
      <c r="AA466" s="83"/>
    </row>
    <row r="467" ht="15.75" customHeight="1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3"/>
      <c r="N467" s="84"/>
      <c r="O467" s="84"/>
      <c r="P467" s="83"/>
      <c r="Q467" s="83"/>
      <c r="R467" s="83"/>
      <c r="S467" s="83"/>
      <c r="T467" s="83"/>
      <c r="U467" s="83"/>
      <c r="V467" s="83"/>
      <c r="W467" s="83"/>
      <c r="X467" s="83"/>
      <c r="Y467" s="83"/>
      <c r="Z467" s="83"/>
      <c r="AA467" s="83"/>
    </row>
    <row r="468" ht="15.75" customHeight="1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3"/>
      <c r="N468" s="84"/>
      <c r="O468" s="84"/>
      <c r="P468" s="83"/>
      <c r="Q468" s="83"/>
      <c r="R468" s="83"/>
      <c r="S468" s="83"/>
      <c r="T468" s="83"/>
      <c r="U468" s="83"/>
      <c r="V468" s="83"/>
      <c r="W468" s="83"/>
      <c r="X468" s="83"/>
      <c r="Y468" s="83"/>
      <c r="Z468" s="83"/>
      <c r="AA468" s="83"/>
    </row>
    <row r="469" ht="15.75" customHeight="1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3"/>
      <c r="N469" s="84"/>
      <c r="O469" s="84"/>
      <c r="P469" s="83"/>
      <c r="Q469" s="83"/>
      <c r="R469" s="83"/>
      <c r="S469" s="83"/>
      <c r="T469" s="83"/>
      <c r="U469" s="83"/>
      <c r="V469" s="83"/>
      <c r="W469" s="83"/>
      <c r="X469" s="83"/>
      <c r="Y469" s="83"/>
      <c r="Z469" s="83"/>
      <c r="AA469" s="83"/>
    </row>
    <row r="470" ht="15.75" customHeight="1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3"/>
      <c r="N470" s="84"/>
      <c r="O470" s="84"/>
      <c r="P470" s="83"/>
      <c r="Q470" s="83"/>
      <c r="R470" s="83"/>
      <c r="S470" s="83"/>
      <c r="T470" s="83"/>
      <c r="U470" s="83"/>
      <c r="V470" s="83"/>
      <c r="W470" s="83"/>
      <c r="X470" s="83"/>
      <c r="Y470" s="83"/>
      <c r="Z470" s="83"/>
      <c r="AA470" s="83"/>
    </row>
    <row r="471" ht="15.75" customHeight="1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3"/>
      <c r="N471" s="84"/>
      <c r="O471" s="84"/>
      <c r="P471" s="83"/>
      <c r="Q471" s="83"/>
      <c r="R471" s="83"/>
      <c r="S471" s="83"/>
      <c r="T471" s="83"/>
      <c r="U471" s="83"/>
      <c r="V471" s="83"/>
      <c r="W471" s="83"/>
      <c r="X471" s="83"/>
      <c r="Y471" s="83"/>
      <c r="Z471" s="83"/>
      <c r="AA471" s="83"/>
    </row>
    <row r="472" ht="15.75" customHeight="1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3"/>
      <c r="N472" s="84"/>
      <c r="O472" s="84"/>
      <c r="P472" s="83"/>
      <c r="Q472" s="83"/>
      <c r="R472" s="83"/>
      <c r="S472" s="83"/>
      <c r="T472" s="83"/>
      <c r="U472" s="83"/>
      <c r="V472" s="83"/>
      <c r="W472" s="83"/>
      <c r="X472" s="83"/>
      <c r="Y472" s="83"/>
      <c r="Z472" s="83"/>
      <c r="AA472" s="83"/>
    </row>
    <row r="473" ht="15.75" customHeight="1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3"/>
      <c r="N473" s="84"/>
      <c r="O473" s="84"/>
      <c r="P473" s="83"/>
      <c r="Q473" s="83"/>
      <c r="R473" s="83"/>
      <c r="S473" s="83"/>
      <c r="T473" s="83"/>
      <c r="U473" s="83"/>
      <c r="V473" s="83"/>
      <c r="W473" s="83"/>
      <c r="X473" s="83"/>
      <c r="Y473" s="83"/>
      <c r="Z473" s="83"/>
      <c r="AA473" s="83"/>
    </row>
    <row r="474" ht="15.75" customHeight="1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3"/>
      <c r="N474" s="84"/>
      <c r="O474" s="84"/>
      <c r="P474" s="83"/>
      <c r="Q474" s="83"/>
      <c r="R474" s="83"/>
      <c r="S474" s="83"/>
      <c r="T474" s="83"/>
      <c r="U474" s="83"/>
      <c r="V474" s="83"/>
      <c r="W474" s="83"/>
      <c r="X474" s="83"/>
      <c r="Y474" s="83"/>
      <c r="Z474" s="83"/>
      <c r="AA474" s="83"/>
    </row>
    <row r="475" ht="15.75" customHeight="1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3"/>
      <c r="N475" s="84"/>
      <c r="O475" s="84"/>
      <c r="P475" s="83"/>
      <c r="Q475" s="83"/>
      <c r="R475" s="83"/>
      <c r="S475" s="83"/>
      <c r="T475" s="83"/>
      <c r="U475" s="83"/>
      <c r="V475" s="83"/>
      <c r="W475" s="83"/>
      <c r="X475" s="83"/>
      <c r="Y475" s="83"/>
      <c r="Z475" s="83"/>
      <c r="AA475" s="83"/>
    </row>
    <row r="476" ht="15.75" customHeight="1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3"/>
      <c r="N476" s="84"/>
      <c r="O476" s="84"/>
      <c r="P476" s="83"/>
      <c r="Q476" s="83"/>
      <c r="R476" s="83"/>
      <c r="S476" s="83"/>
      <c r="T476" s="83"/>
      <c r="U476" s="83"/>
      <c r="V476" s="83"/>
      <c r="W476" s="83"/>
      <c r="X476" s="83"/>
      <c r="Y476" s="83"/>
      <c r="Z476" s="83"/>
      <c r="AA476" s="83"/>
    </row>
    <row r="477" ht="15.75" customHeight="1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3"/>
      <c r="N477" s="84"/>
      <c r="O477" s="84"/>
      <c r="P477" s="83"/>
      <c r="Q477" s="83"/>
      <c r="R477" s="83"/>
      <c r="S477" s="83"/>
      <c r="T477" s="83"/>
      <c r="U477" s="83"/>
      <c r="V477" s="83"/>
      <c r="W477" s="83"/>
      <c r="X477" s="83"/>
      <c r="Y477" s="83"/>
      <c r="Z477" s="83"/>
      <c r="AA477" s="83"/>
    </row>
    <row r="478" ht="15.75" customHeight="1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3"/>
      <c r="N478" s="84"/>
      <c r="O478" s="84"/>
      <c r="P478" s="83"/>
      <c r="Q478" s="83"/>
      <c r="R478" s="83"/>
      <c r="S478" s="83"/>
      <c r="T478" s="83"/>
      <c r="U478" s="83"/>
      <c r="V478" s="83"/>
      <c r="W478" s="83"/>
      <c r="X478" s="83"/>
      <c r="Y478" s="83"/>
      <c r="Z478" s="83"/>
      <c r="AA478" s="83"/>
    </row>
    <row r="479" ht="15.75" customHeight="1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3"/>
      <c r="N479" s="84"/>
      <c r="O479" s="84"/>
      <c r="P479" s="83"/>
      <c r="Q479" s="83"/>
      <c r="R479" s="83"/>
      <c r="S479" s="83"/>
      <c r="T479" s="83"/>
      <c r="U479" s="83"/>
      <c r="V479" s="83"/>
      <c r="W479" s="83"/>
      <c r="X479" s="83"/>
      <c r="Y479" s="83"/>
      <c r="Z479" s="83"/>
      <c r="AA479" s="83"/>
    </row>
    <row r="480" ht="15.75" customHeight="1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3"/>
      <c r="N480" s="84"/>
      <c r="O480" s="84"/>
      <c r="P480" s="83"/>
      <c r="Q480" s="83"/>
      <c r="R480" s="83"/>
      <c r="S480" s="83"/>
      <c r="T480" s="83"/>
      <c r="U480" s="83"/>
      <c r="V480" s="83"/>
      <c r="W480" s="83"/>
      <c r="X480" s="83"/>
      <c r="Y480" s="83"/>
      <c r="Z480" s="83"/>
      <c r="AA480" s="83"/>
    </row>
    <row r="481" ht="15.75" customHeight="1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3"/>
      <c r="N481" s="84"/>
      <c r="O481" s="84"/>
      <c r="P481" s="83"/>
      <c r="Q481" s="83"/>
      <c r="R481" s="83"/>
      <c r="S481" s="83"/>
      <c r="T481" s="83"/>
      <c r="U481" s="83"/>
      <c r="V481" s="83"/>
      <c r="W481" s="83"/>
      <c r="X481" s="83"/>
      <c r="Y481" s="83"/>
      <c r="Z481" s="83"/>
      <c r="AA481" s="83"/>
    </row>
    <row r="482" ht="15.75" customHeight="1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4"/>
      <c r="O482" s="84"/>
      <c r="P482" s="83"/>
      <c r="Q482" s="83"/>
      <c r="R482" s="83"/>
      <c r="S482" s="83"/>
      <c r="T482" s="83"/>
      <c r="U482" s="83"/>
      <c r="V482" s="83"/>
      <c r="W482" s="83"/>
      <c r="X482" s="83"/>
      <c r="Y482" s="83"/>
      <c r="Z482" s="83"/>
      <c r="AA482" s="83"/>
    </row>
    <row r="483" ht="15.75" customHeight="1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3"/>
      <c r="N483" s="84"/>
      <c r="O483" s="84"/>
      <c r="P483" s="83"/>
      <c r="Q483" s="83"/>
      <c r="R483" s="83"/>
      <c r="S483" s="83"/>
      <c r="T483" s="83"/>
      <c r="U483" s="83"/>
      <c r="V483" s="83"/>
      <c r="W483" s="83"/>
      <c r="X483" s="83"/>
      <c r="Y483" s="83"/>
      <c r="Z483" s="83"/>
      <c r="AA483" s="83"/>
    </row>
    <row r="484" ht="15.75" customHeight="1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3"/>
      <c r="N484" s="84"/>
      <c r="O484" s="84"/>
      <c r="P484" s="83"/>
      <c r="Q484" s="83"/>
      <c r="R484" s="83"/>
      <c r="S484" s="83"/>
      <c r="T484" s="83"/>
      <c r="U484" s="83"/>
      <c r="V484" s="83"/>
      <c r="W484" s="83"/>
      <c r="X484" s="83"/>
      <c r="Y484" s="83"/>
      <c r="Z484" s="83"/>
      <c r="AA484" s="83"/>
    </row>
    <row r="485" ht="15.75" customHeight="1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3"/>
      <c r="N485" s="84"/>
      <c r="O485" s="84"/>
      <c r="P485" s="83"/>
      <c r="Q485" s="83"/>
      <c r="R485" s="83"/>
      <c r="S485" s="83"/>
      <c r="T485" s="83"/>
      <c r="U485" s="83"/>
      <c r="V485" s="83"/>
      <c r="W485" s="83"/>
      <c r="X485" s="83"/>
      <c r="Y485" s="83"/>
      <c r="Z485" s="83"/>
      <c r="AA485" s="83"/>
    </row>
    <row r="486" ht="15.75" customHeight="1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3"/>
      <c r="N486" s="84"/>
      <c r="O486" s="84"/>
      <c r="P486" s="83"/>
      <c r="Q486" s="83"/>
      <c r="R486" s="83"/>
      <c r="S486" s="83"/>
      <c r="T486" s="83"/>
      <c r="U486" s="83"/>
      <c r="V486" s="83"/>
      <c r="W486" s="83"/>
      <c r="X486" s="83"/>
      <c r="Y486" s="83"/>
      <c r="Z486" s="83"/>
      <c r="AA486" s="83"/>
    </row>
    <row r="487" ht="15.75" customHeight="1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3"/>
      <c r="N487" s="84"/>
      <c r="O487" s="84"/>
      <c r="P487" s="83"/>
      <c r="Q487" s="83"/>
      <c r="R487" s="83"/>
      <c r="S487" s="83"/>
      <c r="T487" s="83"/>
      <c r="U487" s="83"/>
      <c r="V487" s="83"/>
      <c r="W487" s="83"/>
      <c r="X487" s="83"/>
      <c r="Y487" s="83"/>
      <c r="Z487" s="83"/>
      <c r="AA487" s="83"/>
    </row>
    <row r="488" ht="15.75" customHeight="1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3"/>
      <c r="N488" s="84"/>
      <c r="O488" s="84"/>
      <c r="P488" s="83"/>
      <c r="Q488" s="83"/>
      <c r="R488" s="83"/>
      <c r="S488" s="83"/>
      <c r="T488" s="83"/>
      <c r="U488" s="83"/>
      <c r="V488" s="83"/>
      <c r="W488" s="83"/>
      <c r="X488" s="83"/>
      <c r="Y488" s="83"/>
      <c r="Z488" s="83"/>
      <c r="AA488" s="83"/>
    </row>
    <row r="489" ht="15.75" customHeight="1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3"/>
      <c r="N489" s="84"/>
      <c r="O489" s="84"/>
      <c r="P489" s="83"/>
      <c r="Q489" s="83"/>
      <c r="R489" s="83"/>
      <c r="S489" s="83"/>
      <c r="T489" s="83"/>
      <c r="U489" s="83"/>
      <c r="V489" s="83"/>
      <c r="W489" s="83"/>
      <c r="X489" s="83"/>
      <c r="Y489" s="83"/>
      <c r="Z489" s="83"/>
      <c r="AA489" s="83"/>
    </row>
    <row r="490" ht="15.75" customHeight="1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3"/>
      <c r="N490" s="84"/>
      <c r="O490" s="84"/>
      <c r="P490" s="83"/>
      <c r="Q490" s="83"/>
      <c r="R490" s="83"/>
      <c r="S490" s="83"/>
      <c r="T490" s="83"/>
      <c r="U490" s="83"/>
      <c r="V490" s="83"/>
      <c r="W490" s="83"/>
      <c r="X490" s="83"/>
      <c r="Y490" s="83"/>
      <c r="Z490" s="83"/>
      <c r="AA490" s="83"/>
    </row>
    <row r="491" ht="15.75" customHeight="1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3"/>
      <c r="N491" s="84"/>
      <c r="O491" s="84"/>
      <c r="P491" s="83"/>
      <c r="Q491" s="83"/>
      <c r="R491" s="83"/>
      <c r="S491" s="83"/>
      <c r="T491" s="83"/>
      <c r="U491" s="83"/>
      <c r="V491" s="83"/>
      <c r="W491" s="83"/>
      <c r="X491" s="83"/>
      <c r="Y491" s="83"/>
      <c r="Z491" s="83"/>
      <c r="AA491" s="83"/>
    </row>
    <row r="492" ht="15.75" customHeight="1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3"/>
      <c r="N492" s="84"/>
      <c r="O492" s="84"/>
      <c r="P492" s="83"/>
      <c r="Q492" s="83"/>
      <c r="R492" s="83"/>
      <c r="S492" s="83"/>
      <c r="T492" s="83"/>
      <c r="U492" s="83"/>
      <c r="V492" s="83"/>
      <c r="W492" s="83"/>
      <c r="X492" s="83"/>
      <c r="Y492" s="83"/>
      <c r="Z492" s="83"/>
      <c r="AA492" s="83"/>
    </row>
    <row r="493" ht="15.75" customHeight="1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3"/>
      <c r="N493" s="84"/>
      <c r="O493" s="84"/>
      <c r="P493" s="83"/>
      <c r="Q493" s="83"/>
      <c r="R493" s="83"/>
      <c r="S493" s="83"/>
      <c r="T493" s="83"/>
      <c r="U493" s="83"/>
      <c r="V493" s="83"/>
      <c r="W493" s="83"/>
      <c r="X493" s="83"/>
      <c r="Y493" s="83"/>
      <c r="Z493" s="83"/>
      <c r="AA493" s="83"/>
    </row>
    <row r="494" ht="15.75" customHeight="1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3"/>
      <c r="N494" s="84"/>
      <c r="O494" s="84"/>
      <c r="P494" s="83"/>
      <c r="Q494" s="83"/>
      <c r="R494" s="83"/>
      <c r="S494" s="83"/>
      <c r="T494" s="83"/>
      <c r="U494" s="83"/>
      <c r="V494" s="83"/>
      <c r="W494" s="83"/>
      <c r="X494" s="83"/>
      <c r="Y494" s="83"/>
      <c r="Z494" s="83"/>
      <c r="AA494" s="83"/>
    </row>
    <row r="495" ht="15.75" customHeight="1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3"/>
      <c r="N495" s="84"/>
      <c r="O495" s="84"/>
      <c r="P495" s="83"/>
      <c r="Q495" s="83"/>
      <c r="R495" s="83"/>
      <c r="S495" s="83"/>
      <c r="T495" s="83"/>
      <c r="U495" s="83"/>
      <c r="V495" s="83"/>
      <c r="W495" s="83"/>
      <c r="X495" s="83"/>
      <c r="Y495" s="83"/>
      <c r="Z495" s="83"/>
      <c r="AA495" s="83"/>
    </row>
    <row r="496" ht="15.75" customHeight="1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3"/>
      <c r="N496" s="84"/>
      <c r="O496" s="84"/>
      <c r="P496" s="83"/>
      <c r="Q496" s="83"/>
      <c r="R496" s="83"/>
      <c r="S496" s="83"/>
      <c r="T496" s="83"/>
      <c r="U496" s="83"/>
      <c r="V496" s="83"/>
      <c r="W496" s="83"/>
      <c r="X496" s="83"/>
      <c r="Y496" s="83"/>
      <c r="Z496" s="83"/>
      <c r="AA496" s="83"/>
    </row>
    <row r="497" ht="15.75" customHeight="1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3"/>
      <c r="N497" s="84"/>
      <c r="O497" s="84"/>
      <c r="P497" s="83"/>
      <c r="Q497" s="83"/>
      <c r="R497" s="83"/>
      <c r="S497" s="83"/>
      <c r="T497" s="83"/>
      <c r="U497" s="83"/>
      <c r="V497" s="83"/>
      <c r="W497" s="83"/>
      <c r="X497" s="83"/>
      <c r="Y497" s="83"/>
      <c r="Z497" s="83"/>
      <c r="AA497" s="83"/>
    </row>
    <row r="498" ht="15.75" customHeight="1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3"/>
      <c r="N498" s="84"/>
      <c r="O498" s="84"/>
      <c r="P498" s="83"/>
      <c r="Q498" s="83"/>
      <c r="R498" s="83"/>
      <c r="S498" s="83"/>
      <c r="T498" s="83"/>
      <c r="U498" s="83"/>
      <c r="V498" s="83"/>
      <c r="W498" s="83"/>
      <c r="X498" s="83"/>
      <c r="Y498" s="83"/>
      <c r="Z498" s="83"/>
      <c r="AA498" s="83"/>
    </row>
    <row r="499" ht="15.75" customHeight="1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3"/>
      <c r="N499" s="84"/>
      <c r="O499" s="84"/>
      <c r="P499" s="83"/>
      <c r="Q499" s="83"/>
      <c r="R499" s="83"/>
      <c r="S499" s="83"/>
      <c r="T499" s="83"/>
      <c r="U499" s="83"/>
      <c r="V499" s="83"/>
      <c r="W499" s="83"/>
      <c r="X499" s="83"/>
      <c r="Y499" s="83"/>
      <c r="Z499" s="83"/>
      <c r="AA499" s="83"/>
    </row>
    <row r="500" ht="15.75" customHeight="1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3"/>
      <c r="N500" s="84"/>
      <c r="O500" s="84"/>
      <c r="P500" s="83"/>
      <c r="Q500" s="83"/>
      <c r="R500" s="83"/>
      <c r="S500" s="83"/>
      <c r="T500" s="83"/>
      <c r="U500" s="83"/>
      <c r="V500" s="83"/>
      <c r="W500" s="83"/>
      <c r="X500" s="83"/>
      <c r="Y500" s="83"/>
      <c r="Z500" s="83"/>
      <c r="AA500" s="83"/>
    </row>
    <row r="501" ht="15.75" customHeight="1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3"/>
      <c r="N501" s="84"/>
      <c r="O501" s="84"/>
      <c r="P501" s="83"/>
      <c r="Q501" s="83"/>
      <c r="R501" s="83"/>
      <c r="S501" s="83"/>
      <c r="T501" s="83"/>
      <c r="U501" s="83"/>
      <c r="V501" s="83"/>
      <c r="W501" s="83"/>
      <c r="X501" s="83"/>
      <c r="Y501" s="83"/>
      <c r="Z501" s="83"/>
      <c r="AA501" s="83"/>
    </row>
    <row r="502" ht="15.75" customHeight="1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3"/>
      <c r="N502" s="84"/>
      <c r="O502" s="84"/>
      <c r="P502" s="83"/>
      <c r="Q502" s="83"/>
      <c r="R502" s="83"/>
      <c r="S502" s="83"/>
      <c r="T502" s="83"/>
      <c r="U502" s="83"/>
      <c r="V502" s="83"/>
      <c r="W502" s="83"/>
      <c r="X502" s="83"/>
      <c r="Y502" s="83"/>
      <c r="Z502" s="83"/>
      <c r="AA502" s="83"/>
    </row>
    <row r="503" ht="15.75" customHeight="1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3"/>
      <c r="N503" s="84"/>
      <c r="O503" s="84"/>
      <c r="P503" s="83"/>
      <c r="Q503" s="83"/>
      <c r="R503" s="83"/>
      <c r="S503" s="83"/>
      <c r="T503" s="83"/>
      <c r="U503" s="83"/>
      <c r="V503" s="83"/>
      <c r="W503" s="83"/>
      <c r="X503" s="83"/>
      <c r="Y503" s="83"/>
      <c r="Z503" s="83"/>
      <c r="AA503" s="83"/>
    </row>
    <row r="504" ht="15.75" customHeight="1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3"/>
      <c r="N504" s="84"/>
      <c r="O504" s="84"/>
      <c r="P504" s="83"/>
      <c r="Q504" s="83"/>
      <c r="R504" s="83"/>
      <c r="S504" s="83"/>
      <c r="T504" s="83"/>
      <c r="U504" s="83"/>
      <c r="V504" s="83"/>
      <c r="W504" s="83"/>
      <c r="X504" s="83"/>
      <c r="Y504" s="83"/>
      <c r="Z504" s="83"/>
      <c r="AA504" s="83"/>
    </row>
    <row r="505" ht="15.75" customHeight="1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3"/>
      <c r="N505" s="84"/>
      <c r="O505" s="84"/>
      <c r="P505" s="83"/>
      <c r="Q505" s="83"/>
      <c r="R505" s="83"/>
      <c r="S505" s="83"/>
      <c r="T505" s="83"/>
      <c r="U505" s="83"/>
      <c r="V505" s="83"/>
      <c r="W505" s="83"/>
      <c r="X505" s="83"/>
      <c r="Y505" s="83"/>
      <c r="Z505" s="83"/>
      <c r="AA505" s="83"/>
    </row>
    <row r="506" ht="15.75" customHeight="1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3"/>
      <c r="N506" s="84"/>
      <c r="O506" s="84"/>
      <c r="P506" s="83"/>
      <c r="Q506" s="83"/>
      <c r="R506" s="83"/>
      <c r="S506" s="83"/>
      <c r="T506" s="83"/>
      <c r="U506" s="83"/>
      <c r="V506" s="83"/>
      <c r="W506" s="83"/>
      <c r="X506" s="83"/>
      <c r="Y506" s="83"/>
      <c r="Z506" s="83"/>
      <c r="AA506" s="83"/>
    </row>
    <row r="507" ht="15.75" customHeight="1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3"/>
      <c r="N507" s="84"/>
      <c r="O507" s="84"/>
      <c r="P507" s="83"/>
      <c r="Q507" s="83"/>
      <c r="R507" s="83"/>
      <c r="S507" s="83"/>
      <c r="T507" s="83"/>
      <c r="U507" s="83"/>
      <c r="V507" s="83"/>
      <c r="W507" s="83"/>
      <c r="X507" s="83"/>
      <c r="Y507" s="83"/>
      <c r="Z507" s="83"/>
      <c r="AA507" s="83"/>
    </row>
    <row r="508" ht="15.75" customHeight="1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3"/>
      <c r="N508" s="84"/>
      <c r="O508" s="84"/>
      <c r="P508" s="83"/>
      <c r="Q508" s="83"/>
      <c r="R508" s="83"/>
      <c r="S508" s="83"/>
      <c r="T508" s="83"/>
      <c r="U508" s="83"/>
      <c r="V508" s="83"/>
      <c r="W508" s="83"/>
      <c r="X508" s="83"/>
      <c r="Y508" s="83"/>
      <c r="Z508" s="83"/>
      <c r="AA508" s="83"/>
    </row>
    <row r="509" ht="15.75" customHeight="1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3"/>
      <c r="N509" s="84"/>
      <c r="O509" s="84"/>
      <c r="P509" s="83"/>
      <c r="Q509" s="83"/>
      <c r="R509" s="83"/>
      <c r="S509" s="83"/>
      <c r="T509" s="83"/>
      <c r="U509" s="83"/>
      <c r="V509" s="83"/>
      <c r="W509" s="83"/>
      <c r="X509" s="83"/>
      <c r="Y509" s="83"/>
      <c r="Z509" s="83"/>
      <c r="AA509" s="83"/>
    </row>
    <row r="510" ht="15.75" customHeight="1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3"/>
      <c r="N510" s="84"/>
      <c r="O510" s="84"/>
      <c r="P510" s="83"/>
      <c r="Q510" s="83"/>
      <c r="R510" s="83"/>
      <c r="S510" s="83"/>
      <c r="T510" s="83"/>
      <c r="U510" s="83"/>
      <c r="V510" s="83"/>
      <c r="W510" s="83"/>
      <c r="X510" s="83"/>
      <c r="Y510" s="83"/>
      <c r="Z510" s="83"/>
      <c r="AA510" s="83"/>
    </row>
    <row r="511" ht="15.75" customHeight="1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3"/>
      <c r="N511" s="84"/>
      <c r="O511" s="84"/>
      <c r="P511" s="83"/>
      <c r="Q511" s="83"/>
      <c r="R511" s="83"/>
      <c r="S511" s="83"/>
      <c r="T511" s="83"/>
      <c r="U511" s="83"/>
      <c r="V511" s="83"/>
      <c r="W511" s="83"/>
      <c r="X511" s="83"/>
      <c r="Y511" s="83"/>
      <c r="Z511" s="83"/>
      <c r="AA511" s="83"/>
    </row>
    <row r="512" ht="15.75" customHeight="1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3"/>
      <c r="N512" s="84"/>
      <c r="O512" s="84"/>
      <c r="P512" s="83"/>
      <c r="Q512" s="83"/>
      <c r="R512" s="83"/>
      <c r="S512" s="83"/>
      <c r="T512" s="83"/>
      <c r="U512" s="83"/>
      <c r="V512" s="83"/>
      <c r="W512" s="83"/>
      <c r="X512" s="83"/>
      <c r="Y512" s="83"/>
      <c r="Z512" s="83"/>
      <c r="AA512" s="83"/>
    </row>
    <row r="513" ht="15.75" customHeight="1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3"/>
      <c r="N513" s="84"/>
      <c r="O513" s="84"/>
      <c r="P513" s="83"/>
      <c r="Q513" s="83"/>
      <c r="R513" s="83"/>
      <c r="S513" s="83"/>
      <c r="T513" s="83"/>
      <c r="U513" s="83"/>
      <c r="V513" s="83"/>
      <c r="W513" s="83"/>
      <c r="X513" s="83"/>
      <c r="Y513" s="83"/>
      <c r="Z513" s="83"/>
      <c r="AA513" s="83"/>
    </row>
    <row r="514" ht="15.75" customHeight="1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3"/>
      <c r="N514" s="84"/>
      <c r="O514" s="84"/>
      <c r="P514" s="83"/>
      <c r="Q514" s="83"/>
      <c r="R514" s="83"/>
      <c r="S514" s="83"/>
      <c r="T514" s="83"/>
      <c r="U514" s="83"/>
      <c r="V514" s="83"/>
      <c r="W514" s="83"/>
      <c r="X514" s="83"/>
      <c r="Y514" s="83"/>
      <c r="Z514" s="83"/>
      <c r="AA514" s="83"/>
    </row>
    <row r="515" ht="15.75" customHeight="1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3"/>
      <c r="N515" s="84"/>
      <c r="O515" s="84"/>
      <c r="P515" s="83"/>
      <c r="Q515" s="83"/>
      <c r="R515" s="83"/>
      <c r="S515" s="83"/>
      <c r="T515" s="83"/>
      <c r="U515" s="83"/>
      <c r="V515" s="83"/>
      <c r="W515" s="83"/>
      <c r="X515" s="83"/>
      <c r="Y515" s="83"/>
      <c r="Z515" s="83"/>
      <c r="AA515" s="83"/>
    </row>
    <row r="516" ht="15.75" customHeight="1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3"/>
      <c r="N516" s="84"/>
      <c r="O516" s="84"/>
      <c r="P516" s="83"/>
      <c r="Q516" s="83"/>
      <c r="R516" s="83"/>
      <c r="S516" s="83"/>
      <c r="T516" s="83"/>
      <c r="U516" s="83"/>
      <c r="V516" s="83"/>
      <c r="W516" s="83"/>
      <c r="X516" s="83"/>
      <c r="Y516" s="83"/>
      <c r="Z516" s="83"/>
      <c r="AA516" s="83"/>
    </row>
    <row r="517" ht="15.75" customHeight="1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4"/>
      <c r="O517" s="84"/>
      <c r="P517" s="83"/>
      <c r="Q517" s="83"/>
      <c r="R517" s="83"/>
      <c r="S517" s="83"/>
      <c r="T517" s="83"/>
      <c r="U517" s="83"/>
      <c r="V517" s="83"/>
      <c r="W517" s="83"/>
      <c r="X517" s="83"/>
      <c r="Y517" s="83"/>
      <c r="Z517" s="83"/>
      <c r="AA517" s="83"/>
    </row>
    <row r="518" ht="15.75" customHeight="1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3"/>
      <c r="N518" s="84"/>
      <c r="O518" s="84"/>
      <c r="P518" s="83"/>
      <c r="Q518" s="83"/>
      <c r="R518" s="83"/>
      <c r="S518" s="83"/>
      <c r="T518" s="83"/>
      <c r="U518" s="83"/>
      <c r="V518" s="83"/>
      <c r="W518" s="83"/>
      <c r="X518" s="83"/>
      <c r="Y518" s="83"/>
      <c r="Z518" s="83"/>
      <c r="AA518" s="83"/>
    </row>
    <row r="519" ht="15.75" customHeight="1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3"/>
      <c r="N519" s="84"/>
      <c r="O519" s="84"/>
      <c r="P519" s="83"/>
      <c r="Q519" s="83"/>
      <c r="R519" s="83"/>
      <c r="S519" s="83"/>
      <c r="T519" s="83"/>
      <c r="U519" s="83"/>
      <c r="V519" s="83"/>
      <c r="W519" s="83"/>
      <c r="X519" s="83"/>
      <c r="Y519" s="83"/>
      <c r="Z519" s="83"/>
      <c r="AA519" s="83"/>
    </row>
    <row r="520" ht="15.75" customHeight="1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3"/>
      <c r="N520" s="84"/>
      <c r="O520" s="84"/>
      <c r="P520" s="83"/>
      <c r="Q520" s="83"/>
      <c r="R520" s="83"/>
      <c r="S520" s="83"/>
      <c r="T520" s="83"/>
      <c r="U520" s="83"/>
      <c r="V520" s="83"/>
      <c r="W520" s="83"/>
      <c r="X520" s="83"/>
      <c r="Y520" s="83"/>
      <c r="Z520" s="83"/>
      <c r="AA520" s="83"/>
    </row>
    <row r="521" ht="15.75" customHeight="1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3"/>
      <c r="N521" s="84"/>
      <c r="O521" s="84"/>
      <c r="P521" s="83"/>
      <c r="Q521" s="83"/>
      <c r="R521" s="83"/>
      <c r="S521" s="83"/>
      <c r="T521" s="83"/>
      <c r="U521" s="83"/>
      <c r="V521" s="83"/>
      <c r="W521" s="83"/>
      <c r="X521" s="83"/>
      <c r="Y521" s="83"/>
      <c r="Z521" s="83"/>
      <c r="AA521" s="83"/>
    </row>
    <row r="522" ht="15.75" customHeight="1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3"/>
      <c r="N522" s="84"/>
      <c r="O522" s="84"/>
      <c r="P522" s="83"/>
      <c r="Q522" s="83"/>
      <c r="R522" s="83"/>
      <c r="S522" s="83"/>
      <c r="T522" s="83"/>
      <c r="U522" s="83"/>
      <c r="V522" s="83"/>
      <c r="W522" s="83"/>
      <c r="X522" s="83"/>
      <c r="Y522" s="83"/>
      <c r="Z522" s="83"/>
      <c r="AA522" s="83"/>
    </row>
    <row r="523" ht="15.75" customHeight="1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3"/>
      <c r="N523" s="84"/>
      <c r="O523" s="84"/>
      <c r="P523" s="83"/>
      <c r="Q523" s="83"/>
      <c r="R523" s="83"/>
      <c r="S523" s="83"/>
      <c r="T523" s="83"/>
      <c r="U523" s="83"/>
      <c r="V523" s="83"/>
      <c r="W523" s="83"/>
      <c r="X523" s="83"/>
      <c r="Y523" s="83"/>
      <c r="Z523" s="83"/>
      <c r="AA523" s="83"/>
    </row>
    <row r="524" ht="15.75" customHeight="1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3"/>
      <c r="N524" s="84"/>
      <c r="O524" s="84"/>
      <c r="P524" s="83"/>
      <c r="Q524" s="83"/>
      <c r="R524" s="83"/>
      <c r="S524" s="83"/>
      <c r="T524" s="83"/>
      <c r="U524" s="83"/>
      <c r="V524" s="83"/>
      <c r="W524" s="83"/>
      <c r="X524" s="83"/>
      <c r="Y524" s="83"/>
      <c r="Z524" s="83"/>
      <c r="AA524" s="83"/>
    </row>
    <row r="525" ht="15.75" customHeight="1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3"/>
      <c r="N525" s="84"/>
      <c r="O525" s="84"/>
      <c r="P525" s="83"/>
      <c r="Q525" s="83"/>
      <c r="R525" s="83"/>
      <c r="S525" s="83"/>
      <c r="T525" s="83"/>
      <c r="U525" s="83"/>
      <c r="V525" s="83"/>
      <c r="W525" s="83"/>
      <c r="X525" s="83"/>
      <c r="Y525" s="83"/>
      <c r="Z525" s="83"/>
      <c r="AA525" s="83"/>
    </row>
    <row r="526" ht="15.75" customHeight="1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3"/>
      <c r="N526" s="84"/>
      <c r="O526" s="84"/>
      <c r="P526" s="83"/>
      <c r="Q526" s="83"/>
      <c r="R526" s="83"/>
      <c r="S526" s="83"/>
      <c r="T526" s="83"/>
      <c r="U526" s="83"/>
      <c r="V526" s="83"/>
      <c r="W526" s="83"/>
      <c r="X526" s="83"/>
      <c r="Y526" s="83"/>
      <c r="Z526" s="83"/>
      <c r="AA526" s="83"/>
    </row>
    <row r="527" ht="15.75" customHeight="1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3"/>
      <c r="N527" s="84"/>
      <c r="O527" s="84"/>
      <c r="P527" s="83"/>
      <c r="Q527" s="83"/>
      <c r="R527" s="83"/>
      <c r="S527" s="83"/>
      <c r="T527" s="83"/>
      <c r="U527" s="83"/>
      <c r="V527" s="83"/>
      <c r="W527" s="83"/>
      <c r="X527" s="83"/>
      <c r="Y527" s="83"/>
      <c r="Z527" s="83"/>
      <c r="AA527" s="83"/>
    </row>
    <row r="528" ht="15.75" customHeight="1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3"/>
      <c r="N528" s="84"/>
      <c r="O528" s="84"/>
      <c r="P528" s="83"/>
      <c r="Q528" s="83"/>
      <c r="R528" s="83"/>
      <c r="S528" s="83"/>
      <c r="T528" s="83"/>
      <c r="U528" s="83"/>
      <c r="V528" s="83"/>
      <c r="W528" s="83"/>
      <c r="X528" s="83"/>
      <c r="Y528" s="83"/>
      <c r="Z528" s="83"/>
      <c r="AA528" s="83"/>
    </row>
    <row r="529" ht="15.75" customHeight="1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3"/>
      <c r="N529" s="84"/>
      <c r="O529" s="84"/>
      <c r="P529" s="83"/>
      <c r="Q529" s="83"/>
      <c r="R529" s="83"/>
      <c r="S529" s="83"/>
      <c r="T529" s="83"/>
      <c r="U529" s="83"/>
      <c r="V529" s="83"/>
      <c r="W529" s="83"/>
      <c r="X529" s="83"/>
      <c r="Y529" s="83"/>
      <c r="Z529" s="83"/>
      <c r="AA529" s="83"/>
    </row>
    <row r="530" ht="15.75" customHeight="1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3"/>
      <c r="N530" s="84"/>
      <c r="O530" s="84"/>
      <c r="P530" s="83"/>
      <c r="Q530" s="83"/>
      <c r="R530" s="83"/>
      <c r="S530" s="83"/>
      <c r="T530" s="83"/>
      <c r="U530" s="83"/>
      <c r="V530" s="83"/>
      <c r="W530" s="83"/>
      <c r="X530" s="83"/>
      <c r="Y530" s="83"/>
      <c r="Z530" s="83"/>
      <c r="AA530" s="83"/>
    </row>
    <row r="531" ht="15.75" customHeight="1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3"/>
      <c r="N531" s="84"/>
      <c r="O531" s="84"/>
      <c r="P531" s="83"/>
      <c r="Q531" s="83"/>
      <c r="R531" s="83"/>
      <c r="S531" s="83"/>
      <c r="T531" s="83"/>
      <c r="U531" s="83"/>
      <c r="V531" s="83"/>
      <c r="W531" s="83"/>
      <c r="X531" s="83"/>
      <c r="Y531" s="83"/>
      <c r="Z531" s="83"/>
      <c r="AA531" s="83"/>
    </row>
    <row r="532" ht="15.75" customHeight="1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3"/>
      <c r="N532" s="84"/>
      <c r="O532" s="84"/>
      <c r="P532" s="83"/>
      <c r="Q532" s="83"/>
      <c r="R532" s="83"/>
      <c r="S532" s="83"/>
      <c r="T532" s="83"/>
      <c r="U532" s="83"/>
      <c r="V532" s="83"/>
      <c r="W532" s="83"/>
      <c r="X532" s="83"/>
      <c r="Y532" s="83"/>
      <c r="Z532" s="83"/>
      <c r="AA532" s="83"/>
    </row>
    <row r="533" ht="15.75" customHeight="1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3"/>
      <c r="N533" s="84"/>
      <c r="O533" s="84"/>
      <c r="P533" s="83"/>
      <c r="Q533" s="83"/>
      <c r="R533" s="83"/>
      <c r="S533" s="83"/>
      <c r="T533" s="83"/>
      <c r="U533" s="83"/>
      <c r="V533" s="83"/>
      <c r="W533" s="83"/>
      <c r="X533" s="83"/>
      <c r="Y533" s="83"/>
      <c r="Z533" s="83"/>
      <c r="AA533" s="83"/>
    </row>
    <row r="534" ht="15.75" customHeight="1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3"/>
      <c r="N534" s="84"/>
      <c r="O534" s="84"/>
      <c r="P534" s="83"/>
      <c r="Q534" s="83"/>
      <c r="R534" s="83"/>
      <c r="S534" s="83"/>
      <c r="T534" s="83"/>
      <c r="U534" s="83"/>
      <c r="V534" s="83"/>
      <c r="W534" s="83"/>
      <c r="X534" s="83"/>
      <c r="Y534" s="83"/>
      <c r="Z534" s="83"/>
      <c r="AA534" s="83"/>
    </row>
    <row r="535" ht="15.75" customHeight="1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3"/>
      <c r="N535" s="84"/>
      <c r="O535" s="84"/>
      <c r="P535" s="83"/>
      <c r="Q535" s="83"/>
      <c r="R535" s="83"/>
      <c r="S535" s="83"/>
      <c r="T535" s="83"/>
      <c r="U535" s="83"/>
      <c r="V535" s="83"/>
      <c r="W535" s="83"/>
      <c r="X535" s="83"/>
      <c r="Y535" s="83"/>
      <c r="Z535" s="83"/>
      <c r="AA535" s="83"/>
    </row>
    <row r="536" ht="15.75" customHeight="1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3"/>
      <c r="N536" s="84"/>
      <c r="O536" s="84"/>
      <c r="P536" s="83"/>
      <c r="Q536" s="83"/>
      <c r="R536" s="83"/>
      <c r="S536" s="83"/>
      <c r="T536" s="83"/>
      <c r="U536" s="83"/>
      <c r="V536" s="83"/>
      <c r="W536" s="83"/>
      <c r="X536" s="83"/>
      <c r="Y536" s="83"/>
      <c r="Z536" s="83"/>
      <c r="AA536" s="83"/>
    </row>
    <row r="537" ht="15.75" customHeight="1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3"/>
      <c r="N537" s="84"/>
      <c r="O537" s="84"/>
      <c r="P537" s="83"/>
      <c r="Q537" s="83"/>
      <c r="R537" s="83"/>
      <c r="S537" s="83"/>
      <c r="T537" s="83"/>
      <c r="U537" s="83"/>
      <c r="V537" s="83"/>
      <c r="W537" s="83"/>
      <c r="X537" s="83"/>
      <c r="Y537" s="83"/>
      <c r="Z537" s="83"/>
      <c r="AA537" s="83"/>
    </row>
    <row r="538" ht="15.75" customHeight="1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3"/>
      <c r="N538" s="84"/>
      <c r="O538" s="84"/>
      <c r="P538" s="83"/>
      <c r="Q538" s="83"/>
      <c r="R538" s="83"/>
      <c r="S538" s="83"/>
      <c r="T538" s="83"/>
      <c r="U538" s="83"/>
      <c r="V538" s="83"/>
      <c r="W538" s="83"/>
      <c r="X538" s="83"/>
      <c r="Y538" s="83"/>
      <c r="Z538" s="83"/>
      <c r="AA538" s="83"/>
    </row>
    <row r="539" ht="15.75" customHeight="1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3"/>
      <c r="N539" s="84"/>
      <c r="O539" s="84"/>
      <c r="P539" s="83"/>
      <c r="Q539" s="83"/>
      <c r="R539" s="83"/>
      <c r="S539" s="83"/>
      <c r="T539" s="83"/>
      <c r="U539" s="83"/>
      <c r="V539" s="83"/>
      <c r="W539" s="83"/>
      <c r="X539" s="83"/>
      <c r="Y539" s="83"/>
      <c r="Z539" s="83"/>
      <c r="AA539" s="83"/>
    </row>
    <row r="540" ht="15.75" customHeight="1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3"/>
      <c r="N540" s="84"/>
      <c r="O540" s="84"/>
      <c r="P540" s="83"/>
      <c r="Q540" s="83"/>
      <c r="R540" s="83"/>
      <c r="S540" s="83"/>
      <c r="T540" s="83"/>
      <c r="U540" s="83"/>
      <c r="V540" s="83"/>
      <c r="W540" s="83"/>
      <c r="X540" s="83"/>
      <c r="Y540" s="83"/>
      <c r="Z540" s="83"/>
      <c r="AA540" s="83"/>
    </row>
    <row r="541" ht="15.75" customHeight="1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3"/>
      <c r="N541" s="84"/>
      <c r="O541" s="84"/>
      <c r="P541" s="83"/>
      <c r="Q541" s="83"/>
      <c r="R541" s="83"/>
      <c r="S541" s="83"/>
      <c r="T541" s="83"/>
      <c r="U541" s="83"/>
      <c r="V541" s="83"/>
      <c r="W541" s="83"/>
      <c r="X541" s="83"/>
      <c r="Y541" s="83"/>
      <c r="Z541" s="83"/>
      <c r="AA541" s="83"/>
    </row>
    <row r="542" ht="15.75" customHeight="1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3"/>
      <c r="N542" s="84"/>
      <c r="O542" s="84"/>
      <c r="P542" s="83"/>
      <c r="Q542" s="83"/>
      <c r="R542" s="83"/>
      <c r="S542" s="83"/>
      <c r="T542" s="83"/>
      <c r="U542" s="83"/>
      <c r="V542" s="83"/>
      <c r="W542" s="83"/>
      <c r="X542" s="83"/>
      <c r="Y542" s="83"/>
      <c r="Z542" s="83"/>
      <c r="AA542" s="83"/>
    </row>
    <row r="543" ht="15.75" customHeight="1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3"/>
      <c r="N543" s="84"/>
      <c r="O543" s="84"/>
      <c r="P543" s="83"/>
      <c r="Q543" s="83"/>
      <c r="R543" s="83"/>
      <c r="S543" s="83"/>
      <c r="T543" s="83"/>
      <c r="U543" s="83"/>
      <c r="V543" s="83"/>
      <c r="W543" s="83"/>
      <c r="X543" s="83"/>
      <c r="Y543" s="83"/>
      <c r="Z543" s="83"/>
      <c r="AA543" s="83"/>
    </row>
    <row r="544" ht="15.75" customHeight="1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3"/>
      <c r="N544" s="84"/>
      <c r="O544" s="84"/>
      <c r="P544" s="83"/>
      <c r="Q544" s="83"/>
      <c r="R544" s="83"/>
      <c r="S544" s="83"/>
      <c r="T544" s="83"/>
      <c r="U544" s="83"/>
      <c r="V544" s="83"/>
      <c r="W544" s="83"/>
      <c r="X544" s="83"/>
      <c r="Y544" s="83"/>
      <c r="Z544" s="83"/>
      <c r="AA544" s="83"/>
    </row>
    <row r="545" ht="15.75" customHeight="1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3"/>
      <c r="N545" s="84"/>
      <c r="O545" s="84"/>
      <c r="P545" s="83"/>
      <c r="Q545" s="83"/>
      <c r="R545" s="83"/>
      <c r="S545" s="83"/>
      <c r="T545" s="83"/>
      <c r="U545" s="83"/>
      <c r="V545" s="83"/>
      <c r="W545" s="83"/>
      <c r="X545" s="83"/>
      <c r="Y545" s="83"/>
      <c r="Z545" s="83"/>
      <c r="AA545" s="83"/>
    </row>
    <row r="546" ht="15.75" customHeight="1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3"/>
      <c r="N546" s="84"/>
      <c r="O546" s="84"/>
      <c r="P546" s="83"/>
      <c r="Q546" s="83"/>
      <c r="R546" s="83"/>
      <c r="S546" s="83"/>
      <c r="T546" s="83"/>
      <c r="U546" s="83"/>
      <c r="V546" s="83"/>
      <c r="W546" s="83"/>
      <c r="X546" s="83"/>
      <c r="Y546" s="83"/>
      <c r="Z546" s="83"/>
      <c r="AA546" s="83"/>
    </row>
    <row r="547" ht="15.75" customHeight="1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3"/>
      <c r="N547" s="84"/>
      <c r="O547" s="84"/>
      <c r="P547" s="83"/>
      <c r="Q547" s="83"/>
      <c r="R547" s="83"/>
      <c r="S547" s="83"/>
      <c r="T547" s="83"/>
      <c r="U547" s="83"/>
      <c r="V547" s="83"/>
      <c r="W547" s="83"/>
      <c r="X547" s="83"/>
      <c r="Y547" s="83"/>
      <c r="Z547" s="83"/>
      <c r="AA547" s="83"/>
    </row>
    <row r="548" ht="15.75" customHeight="1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3"/>
      <c r="N548" s="84"/>
      <c r="O548" s="84"/>
      <c r="P548" s="83"/>
      <c r="Q548" s="83"/>
      <c r="R548" s="83"/>
      <c r="S548" s="83"/>
      <c r="T548" s="83"/>
      <c r="U548" s="83"/>
      <c r="V548" s="83"/>
      <c r="W548" s="83"/>
      <c r="X548" s="83"/>
      <c r="Y548" s="83"/>
      <c r="Z548" s="83"/>
      <c r="AA548" s="83"/>
    </row>
    <row r="549" ht="15.75" customHeight="1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3"/>
      <c r="N549" s="84"/>
      <c r="O549" s="84"/>
      <c r="P549" s="83"/>
      <c r="Q549" s="83"/>
      <c r="R549" s="83"/>
      <c r="S549" s="83"/>
      <c r="T549" s="83"/>
      <c r="U549" s="83"/>
      <c r="V549" s="83"/>
      <c r="W549" s="83"/>
      <c r="X549" s="83"/>
      <c r="Y549" s="83"/>
      <c r="Z549" s="83"/>
      <c r="AA549" s="83"/>
    </row>
    <row r="550" ht="15.75" customHeight="1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4"/>
      <c r="O550" s="84"/>
      <c r="P550" s="83"/>
      <c r="Q550" s="83"/>
      <c r="R550" s="83"/>
      <c r="S550" s="83"/>
      <c r="T550" s="83"/>
      <c r="U550" s="83"/>
      <c r="V550" s="83"/>
      <c r="W550" s="83"/>
      <c r="X550" s="83"/>
      <c r="Y550" s="83"/>
      <c r="Z550" s="83"/>
      <c r="AA550" s="83"/>
    </row>
    <row r="551" ht="15.75" customHeight="1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3"/>
      <c r="N551" s="84"/>
      <c r="O551" s="84"/>
      <c r="P551" s="83"/>
      <c r="Q551" s="83"/>
      <c r="R551" s="83"/>
      <c r="S551" s="83"/>
      <c r="T551" s="83"/>
      <c r="U551" s="83"/>
      <c r="V551" s="83"/>
      <c r="W551" s="83"/>
      <c r="X551" s="83"/>
      <c r="Y551" s="83"/>
      <c r="Z551" s="83"/>
      <c r="AA551" s="83"/>
    </row>
    <row r="552" ht="15.75" customHeight="1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3"/>
      <c r="N552" s="84"/>
      <c r="O552" s="84"/>
      <c r="P552" s="83"/>
      <c r="Q552" s="83"/>
      <c r="R552" s="83"/>
      <c r="S552" s="83"/>
      <c r="T552" s="83"/>
      <c r="U552" s="83"/>
      <c r="V552" s="83"/>
      <c r="W552" s="83"/>
      <c r="X552" s="83"/>
      <c r="Y552" s="83"/>
      <c r="Z552" s="83"/>
      <c r="AA552" s="83"/>
    </row>
    <row r="553" ht="15.75" customHeight="1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3"/>
      <c r="N553" s="84"/>
      <c r="O553" s="84"/>
      <c r="P553" s="83"/>
      <c r="Q553" s="83"/>
      <c r="R553" s="83"/>
      <c r="S553" s="83"/>
      <c r="T553" s="83"/>
      <c r="U553" s="83"/>
      <c r="V553" s="83"/>
      <c r="W553" s="83"/>
      <c r="X553" s="83"/>
      <c r="Y553" s="83"/>
      <c r="Z553" s="83"/>
      <c r="AA553" s="83"/>
    </row>
    <row r="554" ht="15.75" customHeight="1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3"/>
      <c r="N554" s="84"/>
      <c r="O554" s="84"/>
      <c r="P554" s="83"/>
      <c r="Q554" s="83"/>
      <c r="R554" s="83"/>
      <c r="S554" s="83"/>
      <c r="T554" s="83"/>
      <c r="U554" s="83"/>
      <c r="V554" s="83"/>
      <c r="W554" s="83"/>
      <c r="X554" s="83"/>
      <c r="Y554" s="83"/>
      <c r="Z554" s="83"/>
      <c r="AA554" s="83"/>
    </row>
    <row r="555" ht="15.75" customHeight="1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3"/>
      <c r="N555" s="84"/>
      <c r="O555" s="84"/>
      <c r="P555" s="83"/>
      <c r="Q555" s="83"/>
      <c r="R555" s="83"/>
      <c r="S555" s="83"/>
      <c r="T555" s="83"/>
      <c r="U555" s="83"/>
      <c r="V555" s="83"/>
      <c r="W555" s="83"/>
      <c r="X555" s="83"/>
      <c r="Y555" s="83"/>
      <c r="Z555" s="83"/>
      <c r="AA555" s="83"/>
    </row>
    <row r="556" ht="15.75" customHeight="1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3"/>
      <c r="N556" s="84"/>
      <c r="O556" s="84"/>
      <c r="P556" s="83"/>
      <c r="Q556" s="83"/>
      <c r="R556" s="83"/>
      <c r="S556" s="83"/>
      <c r="T556" s="83"/>
      <c r="U556" s="83"/>
      <c r="V556" s="83"/>
      <c r="W556" s="83"/>
      <c r="X556" s="83"/>
      <c r="Y556" s="83"/>
      <c r="Z556" s="83"/>
      <c r="AA556" s="83"/>
    </row>
    <row r="557" ht="15.75" customHeight="1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3"/>
      <c r="N557" s="84"/>
      <c r="O557" s="84"/>
      <c r="P557" s="83"/>
      <c r="Q557" s="83"/>
      <c r="R557" s="83"/>
      <c r="S557" s="83"/>
      <c r="T557" s="83"/>
      <c r="U557" s="83"/>
      <c r="V557" s="83"/>
      <c r="W557" s="83"/>
      <c r="X557" s="83"/>
      <c r="Y557" s="83"/>
      <c r="Z557" s="83"/>
      <c r="AA557" s="83"/>
    </row>
    <row r="558" ht="15.75" customHeight="1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3"/>
      <c r="N558" s="84"/>
      <c r="O558" s="84"/>
      <c r="P558" s="83"/>
      <c r="Q558" s="83"/>
      <c r="R558" s="83"/>
      <c r="S558" s="83"/>
      <c r="T558" s="83"/>
      <c r="U558" s="83"/>
      <c r="V558" s="83"/>
      <c r="W558" s="83"/>
      <c r="X558" s="83"/>
      <c r="Y558" s="83"/>
      <c r="Z558" s="83"/>
      <c r="AA558" s="83"/>
    </row>
    <row r="559" ht="15.75" customHeight="1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3"/>
      <c r="N559" s="84"/>
      <c r="O559" s="84"/>
      <c r="P559" s="83"/>
      <c r="Q559" s="83"/>
      <c r="R559" s="83"/>
      <c r="S559" s="83"/>
      <c r="T559" s="83"/>
      <c r="U559" s="83"/>
      <c r="V559" s="83"/>
      <c r="W559" s="83"/>
      <c r="X559" s="83"/>
      <c r="Y559" s="83"/>
      <c r="Z559" s="83"/>
      <c r="AA559" s="83"/>
    </row>
    <row r="560" ht="15.75" customHeight="1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3"/>
      <c r="N560" s="84"/>
      <c r="O560" s="84"/>
      <c r="P560" s="83"/>
      <c r="Q560" s="83"/>
      <c r="R560" s="83"/>
      <c r="S560" s="83"/>
      <c r="T560" s="83"/>
      <c r="U560" s="83"/>
      <c r="V560" s="83"/>
      <c r="W560" s="83"/>
      <c r="X560" s="83"/>
      <c r="Y560" s="83"/>
      <c r="Z560" s="83"/>
      <c r="AA560" s="83"/>
    </row>
    <row r="561" ht="15.75" customHeight="1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3"/>
      <c r="N561" s="84"/>
      <c r="O561" s="84"/>
      <c r="P561" s="83"/>
      <c r="Q561" s="83"/>
      <c r="R561" s="83"/>
      <c r="S561" s="83"/>
      <c r="T561" s="83"/>
      <c r="U561" s="83"/>
      <c r="V561" s="83"/>
      <c r="W561" s="83"/>
      <c r="X561" s="83"/>
      <c r="Y561" s="83"/>
      <c r="Z561" s="83"/>
      <c r="AA561" s="83"/>
    </row>
    <row r="562" ht="15.75" customHeight="1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3"/>
      <c r="N562" s="84"/>
      <c r="O562" s="84"/>
      <c r="P562" s="83"/>
      <c r="Q562" s="83"/>
      <c r="R562" s="83"/>
      <c r="S562" s="83"/>
      <c r="T562" s="83"/>
      <c r="U562" s="83"/>
      <c r="V562" s="83"/>
      <c r="W562" s="83"/>
      <c r="X562" s="83"/>
      <c r="Y562" s="83"/>
      <c r="Z562" s="83"/>
      <c r="AA562" s="83"/>
    </row>
    <row r="563" ht="15.75" customHeight="1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3"/>
      <c r="N563" s="84"/>
      <c r="O563" s="84"/>
      <c r="P563" s="83"/>
      <c r="Q563" s="83"/>
      <c r="R563" s="83"/>
      <c r="S563" s="83"/>
      <c r="T563" s="83"/>
      <c r="U563" s="83"/>
      <c r="V563" s="83"/>
      <c r="W563" s="83"/>
      <c r="X563" s="83"/>
      <c r="Y563" s="83"/>
      <c r="Z563" s="83"/>
      <c r="AA563" s="83"/>
    </row>
    <row r="564" ht="15.75" customHeight="1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3"/>
      <c r="N564" s="84"/>
      <c r="O564" s="84"/>
      <c r="P564" s="83"/>
      <c r="Q564" s="83"/>
      <c r="R564" s="83"/>
      <c r="S564" s="83"/>
      <c r="T564" s="83"/>
      <c r="U564" s="83"/>
      <c r="V564" s="83"/>
      <c r="W564" s="83"/>
      <c r="X564" s="83"/>
      <c r="Y564" s="83"/>
      <c r="Z564" s="83"/>
      <c r="AA564" s="83"/>
    </row>
    <row r="565" ht="15.75" customHeight="1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3"/>
      <c r="N565" s="84"/>
      <c r="O565" s="84"/>
      <c r="P565" s="83"/>
      <c r="Q565" s="83"/>
      <c r="R565" s="83"/>
      <c r="S565" s="83"/>
      <c r="T565" s="83"/>
      <c r="U565" s="83"/>
      <c r="V565" s="83"/>
      <c r="W565" s="83"/>
      <c r="X565" s="83"/>
      <c r="Y565" s="83"/>
      <c r="Z565" s="83"/>
      <c r="AA565" s="83"/>
    </row>
    <row r="566" ht="15.75" customHeight="1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3"/>
      <c r="N566" s="84"/>
      <c r="O566" s="84"/>
      <c r="P566" s="83"/>
      <c r="Q566" s="83"/>
      <c r="R566" s="83"/>
      <c r="S566" s="83"/>
      <c r="T566" s="83"/>
      <c r="U566" s="83"/>
      <c r="V566" s="83"/>
      <c r="W566" s="83"/>
      <c r="X566" s="83"/>
      <c r="Y566" s="83"/>
      <c r="Z566" s="83"/>
      <c r="AA566" s="83"/>
    </row>
    <row r="567" ht="15.75" customHeight="1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3"/>
      <c r="N567" s="84"/>
      <c r="O567" s="84"/>
      <c r="P567" s="83"/>
      <c r="Q567" s="83"/>
      <c r="R567" s="83"/>
      <c r="S567" s="83"/>
      <c r="T567" s="83"/>
      <c r="U567" s="83"/>
      <c r="V567" s="83"/>
      <c r="W567" s="83"/>
      <c r="X567" s="83"/>
      <c r="Y567" s="83"/>
      <c r="Z567" s="83"/>
      <c r="AA567" s="83"/>
    </row>
    <row r="568" ht="15.75" customHeight="1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3"/>
      <c r="N568" s="84"/>
      <c r="O568" s="84"/>
      <c r="P568" s="83"/>
      <c r="Q568" s="83"/>
      <c r="R568" s="83"/>
      <c r="S568" s="83"/>
      <c r="T568" s="83"/>
      <c r="U568" s="83"/>
      <c r="V568" s="83"/>
      <c r="W568" s="83"/>
      <c r="X568" s="83"/>
      <c r="Y568" s="83"/>
      <c r="Z568" s="83"/>
      <c r="AA568" s="83"/>
    </row>
    <row r="569" ht="15.75" customHeight="1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3"/>
      <c r="N569" s="84"/>
      <c r="O569" s="84"/>
      <c r="P569" s="83"/>
      <c r="Q569" s="83"/>
      <c r="R569" s="83"/>
      <c r="S569" s="83"/>
      <c r="T569" s="83"/>
      <c r="U569" s="83"/>
      <c r="V569" s="83"/>
      <c r="W569" s="83"/>
      <c r="X569" s="83"/>
      <c r="Y569" s="83"/>
      <c r="Z569" s="83"/>
      <c r="AA569" s="83"/>
    </row>
    <row r="570" ht="15.75" customHeight="1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3"/>
      <c r="N570" s="84"/>
      <c r="O570" s="84"/>
      <c r="P570" s="83"/>
      <c r="Q570" s="83"/>
      <c r="R570" s="83"/>
      <c r="S570" s="83"/>
      <c r="T570" s="83"/>
      <c r="U570" s="83"/>
      <c r="V570" s="83"/>
      <c r="W570" s="83"/>
      <c r="X570" s="83"/>
      <c r="Y570" s="83"/>
      <c r="Z570" s="83"/>
      <c r="AA570" s="83"/>
    </row>
    <row r="571" ht="15.75" customHeight="1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3"/>
      <c r="N571" s="84"/>
      <c r="O571" s="84"/>
      <c r="P571" s="83"/>
      <c r="Q571" s="83"/>
      <c r="R571" s="83"/>
      <c r="S571" s="83"/>
      <c r="T571" s="83"/>
      <c r="U571" s="83"/>
      <c r="V571" s="83"/>
      <c r="W571" s="83"/>
      <c r="X571" s="83"/>
      <c r="Y571" s="83"/>
      <c r="Z571" s="83"/>
      <c r="AA571" s="83"/>
    </row>
    <row r="572" ht="15.75" customHeight="1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3"/>
      <c r="N572" s="84"/>
      <c r="O572" s="84"/>
      <c r="P572" s="83"/>
      <c r="Q572" s="83"/>
      <c r="R572" s="83"/>
      <c r="S572" s="83"/>
      <c r="T572" s="83"/>
      <c r="U572" s="83"/>
      <c r="V572" s="83"/>
      <c r="W572" s="83"/>
      <c r="X572" s="83"/>
      <c r="Y572" s="83"/>
      <c r="Z572" s="83"/>
      <c r="AA572" s="83"/>
    </row>
    <row r="573" ht="15.75" customHeight="1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3"/>
      <c r="N573" s="84"/>
      <c r="O573" s="84"/>
      <c r="P573" s="83"/>
      <c r="Q573" s="83"/>
      <c r="R573" s="83"/>
      <c r="S573" s="83"/>
      <c r="T573" s="83"/>
      <c r="U573" s="83"/>
      <c r="V573" s="83"/>
      <c r="W573" s="83"/>
      <c r="X573" s="83"/>
      <c r="Y573" s="83"/>
      <c r="Z573" s="83"/>
      <c r="AA573" s="83"/>
    </row>
    <row r="574" ht="15.75" customHeight="1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3"/>
      <c r="N574" s="84"/>
      <c r="O574" s="84"/>
      <c r="P574" s="83"/>
      <c r="Q574" s="83"/>
      <c r="R574" s="83"/>
      <c r="S574" s="83"/>
      <c r="T574" s="83"/>
      <c r="U574" s="83"/>
      <c r="V574" s="83"/>
      <c r="W574" s="83"/>
      <c r="X574" s="83"/>
      <c r="Y574" s="83"/>
      <c r="Z574" s="83"/>
      <c r="AA574" s="83"/>
    </row>
    <row r="575" ht="15.75" customHeight="1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3"/>
      <c r="N575" s="84"/>
      <c r="O575" s="84"/>
      <c r="P575" s="83"/>
      <c r="Q575" s="83"/>
      <c r="R575" s="83"/>
      <c r="S575" s="83"/>
      <c r="T575" s="83"/>
      <c r="U575" s="83"/>
      <c r="V575" s="83"/>
      <c r="W575" s="83"/>
      <c r="X575" s="83"/>
      <c r="Y575" s="83"/>
      <c r="Z575" s="83"/>
      <c r="AA575" s="83"/>
    </row>
    <row r="576" ht="15.75" customHeight="1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3"/>
      <c r="N576" s="84"/>
      <c r="O576" s="84"/>
      <c r="P576" s="83"/>
      <c r="Q576" s="83"/>
      <c r="R576" s="83"/>
      <c r="S576" s="83"/>
      <c r="T576" s="83"/>
      <c r="U576" s="83"/>
      <c r="V576" s="83"/>
      <c r="W576" s="83"/>
      <c r="X576" s="83"/>
      <c r="Y576" s="83"/>
      <c r="Z576" s="83"/>
      <c r="AA576" s="83"/>
    </row>
    <row r="577" ht="15.75" customHeight="1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3"/>
      <c r="N577" s="84"/>
      <c r="O577" s="84"/>
      <c r="P577" s="83"/>
      <c r="Q577" s="83"/>
      <c r="R577" s="83"/>
      <c r="S577" s="83"/>
      <c r="T577" s="83"/>
      <c r="U577" s="83"/>
      <c r="V577" s="83"/>
      <c r="W577" s="83"/>
      <c r="X577" s="83"/>
      <c r="Y577" s="83"/>
      <c r="Z577" s="83"/>
      <c r="AA577" s="83"/>
    </row>
    <row r="578" ht="15.75" customHeight="1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3"/>
      <c r="N578" s="84"/>
      <c r="O578" s="84"/>
      <c r="P578" s="83"/>
      <c r="Q578" s="83"/>
      <c r="R578" s="83"/>
      <c r="S578" s="83"/>
      <c r="T578" s="83"/>
      <c r="U578" s="83"/>
      <c r="V578" s="83"/>
      <c r="W578" s="83"/>
      <c r="X578" s="83"/>
      <c r="Y578" s="83"/>
      <c r="Z578" s="83"/>
      <c r="AA578" s="83"/>
    </row>
    <row r="579" ht="15.75" customHeight="1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3"/>
      <c r="N579" s="84"/>
      <c r="O579" s="84"/>
      <c r="P579" s="83"/>
      <c r="Q579" s="83"/>
      <c r="R579" s="83"/>
      <c r="S579" s="83"/>
      <c r="T579" s="83"/>
      <c r="U579" s="83"/>
      <c r="V579" s="83"/>
      <c r="W579" s="83"/>
      <c r="X579" s="83"/>
      <c r="Y579" s="83"/>
      <c r="Z579" s="83"/>
      <c r="AA579" s="83"/>
    </row>
    <row r="580" ht="15.75" customHeight="1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3"/>
      <c r="N580" s="84"/>
      <c r="O580" s="84"/>
      <c r="P580" s="83"/>
      <c r="Q580" s="83"/>
      <c r="R580" s="83"/>
      <c r="S580" s="83"/>
      <c r="T580" s="83"/>
      <c r="U580" s="83"/>
      <c r="V580" s="83"/>
      <c r="W580" s="83"/>
      <c r="X580" s="83"/>
      <c r="Y580" s="83"/>
      <c r="Z580" s="83"/>
      <c r="AA580" s="83"/>
    </row>
    <row r="581" ht="15.75" customHeight="1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3"/>
      <c r="N581" s="84"/>
      <c r="O581" s="84"/>
      <c r="P581" s="83"/>
      <c r="Q581" s="83"/>
      <c r="R581" s="83"/>
      <c r="S581" s="83"/>
      <c r="T581" s="83"/>
      <c r="U581" s="83"/>
      <c r="V581" s="83"/>
      <c r="W581" s="83"/>
      <c r="X581" s="83"/>
      <c r="Y581" s="83"/>
      <c r="Z581" s="83"/>
      <c r="AA581" s="83"/>
    </row>
    <row r="582" ht="15.75" customHeight="1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3"/>
      <c r="N582" s="84"/>
      <c r="O582" s="84"/>
      <c r="P582" s="83"/>
      <c r="Q582" s="83"/>
      <c r="R582" s="83"/>
      <c r="S582" s="83"/>
      <c r="T582" s="83"/>
      <c r="U582" s="83"/>
      <c r="V582" s="83"/>
      <c r="W582" s="83"/>
      <c r="X582" s="83"/>
      <c r="Y582" s="83"/>
      <c r="Z582" s="83"/>
      <c r="AA582" s="83"/>
    </row>
    <row r="583" ht="15.75" customHeight="1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3"/>
      <c r="N583" s="84"/>
      <c r="O583" s="84"/>
      <c r="P583" s="83"/>
      <c r="Q583" s="83"/>
      <c r="R583" s="83"/>
      <c r="S583" s="83"/>
      <c r="T583" s="83"/>
      <c r="U583" s="83"/>
      <c r="V583" s="83"/>
      <c r="W583" s="83"/>
      <c r="X583" s="83"/>
      <c r="Y583" s="83"/>
      <c r="Z583" s="83"/>
      <c r="AA583" s="83"/>
    </row>
    <row r="584" ht="15.75" customHeight="1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3"/>
      <c r="N584" s="84"/>
      <c r="O584" s="84"/>
      <c r="P584" s="83"/>
      <c r="Q584" s="83"/>
      <c r="R584" s="83"/>
      <c r="S584" s="83"/>
      <c r="T584" s="83"/>
      <c r="U584" s="83"/>
      <c r="V584" s="83"/>
      <c r="W584" s="83"/>
      <c r="X584" s="83"/>
      <c r="Y584" s="83"/>
      <c r="Z584" s="83"/>
      <c r="AA584" s="83"/>
    </row>
    <row r="585" ht="15.75" customHeight="1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3"/>
      <c r="N585" s="84"/>
      <c r="O585" s="84"/>
      <c r="P585" s="83"/>
      <c r="Q585" s="83"/>
      <c r="R585" s="83"/>
      <c r="S585" s="83"/>
      <c r="T585" s="83"/>
      <c r="U585" s="83"/>
      <c r="V585" s="83"/>
      <c r="W585" s="83"/>
      <c r="X585" s="83"/>
      <c r="Y585" s="83"/>
      <c r="Z585" s="83"/>
      <c r="AA585" s="83"/>
    </row>
    <row r="586" ht="15.75" customHeight="1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3"/>
      <c r="N586" s="84"/>
      <c r="O586" s="84"/>
      <c r="P586" s="83"/>
      <c r="Q586" s="83"/>
      <c r="R586" s="83"/>
      <c r="S586" s="83"/>
      <c r="T586" s="83"/>
      <c r="U586" s="83"/>
      <c r="V586" s="83"/>
      <c r="W586" s="83"/>
      <c r="X586" s="83"/>
      <c r="Y586" s="83"/>
      <c r="Z586" s="83"/>
      <c r="AA586" s="83"/>
    </row>
    <row r="587" ht="15.75" customHeight="1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3"/>
      <c r="N587" s="84"/>
      <c r="O587" s="84"/>
      <c r="P587" s="83"/>
      <c r="Q587" s="83"/>
      <c r="R587" s="83"/>
      <c r="S587" s="83"/>
      <c r="T587" s="83"/>
      <c r="U587" s="83"/>
      <c r="V587" s="83"/>
      <c r="W587" s="83"/>
      <c r="X587" s="83"/>
      <c r="Y587" s="83"/>
      <c r="Z587" s="83"/>
      <c r="AA587" s="83"/>
    </row>
    <row r="588" ht="15.75" customHeight="1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3"/>
      <c r="N588" s="84"/>
      <c r="O588" s="84"/>
      <c r="P588" s="83"/>
      <c r="Q588" s="83"/>
      <c r="R588" s="83"/>
      <c r="S588" s="83"/>
      <c r="T588" s="83"/>
      <c r="U588" s="83"/>
      <c r="V588" s="83"/>
      <c r="W588" s="83"/>
      <c r="X588" s="83"/>
      <c r="Y588" s="83"/>
      <c r="Z588" s="83"/>
      <c r="AA588" s="83"/>
    </row>
    <row r="589" ht="15.75" customHeight="1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3"/>
      <c r="N589" s="84"/>
      <c r="O589" s="84"/>
      <c r="P589" s="83"/>
      <c r="Q589" s="83"/>
      <c r="R589" s="83"/>
      <c r="S589" s="83"/>
      <c r="T589" s="83"/>
      <c r="U589" s="83"/>
      <c r="V589" s="83"/>
      <c r="W589" s="83"/>
      <c r="X589" s="83"/>
      <c r="Y589" s="83"/>
      <c r="Z589" s="83"/>
      <c r="AA589" s="83"/>
    </row>
    <row r="590" ht="15.75" customHeight="1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3"/>
      <c r="N590" s="84"/>
      <c r="O590" s="84"/>
      <c r="P590" s="83"/>
      <c r="Q590" s="83"/>
      <c r="R590" s="83"/>
      <c r="S590" s="83"/>
      <c r="T590" s="83"/>
      <c r="U590" s="83"/>
      <c r="V590" s="83"/>
      <c r="W590" s="83"/>
      <c r="X590" s="83"/>
      <c r="Y590" s="83"/>
      <c r="Z590" s="83"/>
      <c r="AA590" s="83"/>
    </row>
    <row r="591" ht="15.75" customHeight="1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3"/>
      <c r="N591" s="84"/>
      <c r="O591" s="84"/>
      <c r="P591" s="83"/>
      <c r="Q591" s="83"/>
      <c r="R591" s="83"/>
      <c r="S591" s="83"/>
      <c r="T591" s="83"/>
      <c r="U591" s="83"/>
      <c r="V591" s="83"/>
      <c r="W591" s="83"/>
      <c r="X591" s="83"/>
      <c r="Y591" s="83"/>
      <c r="Z591" s="83"/>
      <c r="AA591" s="83"/>
    </row>
    <row r="592" ht="15.75" customHeight="1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3"/>
      <c r="N592" s="84"/>
      <c r="O592" s="84"/>
      <c r="P592" s="83"/>
      <c r="Q592" s="83"/>
      <c r="R592" s="83"/>
      <c r="S592" s="83"/>
      <c r="T592" s="83"/>
      <c r="U592" s="83"/>
      <c r="V592" s="83"/>
      <c r="W592" s="83"/>
      <c r="X592" s="83"/>
      <c r="Y592" s="83"/>
      <c r="Z592" s="83"/>
      <c r="AA592" s="83"/>
    </row>
    <row r="593" ht="15.75" customHeight="1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3"/>
      <c r="N593" s="84"/>
      <c r="O593" s="84"/>
      <c r="P593" s="83"/>
      <c r="Q593" s="83"/>
      <c r="R593" s="83"/>
      <c r="S593" s="83"/>
      <c r="T593" s="83"/>
      <c r="U593" s="83"/>
      <c r="V593" s="83"/>
      <c r="W593" s="83"/>
      <c r="X593" s="83"/>
      <c r="Y593" s="83"/>
      <c r="Z593" s="83"/>
      <c r="AA593" s="83"/>
    </row>
    <row r="594" ht="15.75" customHeight="1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3"/>
      <c r="N594" s="84"/>
      <c r="O594" s="84"/>
      <c r="P594" s="83"/>
      <c r="Q594" s="83"/>
      <c r="R594" s="83"/>
      <c r="S594" s="83"/>
      <c r="T594" s="83"/>
      <c r="U594" s="83"/>
      <c r="V594" s="83"/>
      <c r="W594" s="83"/>
      <c r="X594" s="83"/>
      <c r="Y594" s="83"/>
      <c r="Z594" s="83"/>
      <c r="AA594" s="83"/>
    </row>
    <row r="595" ht="15.75" customHeight="1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3"/>
      <c r="N595" s="84"/>
      <c r="O595" s="84"/>
      <c r="P595" s="83"/>
      <c r="Q595" s="83"/>
      <c r="R595" s="83"/>
      <c r="S595" s="83"/>
      <c r="T595" s="83"/>
      <c r="U595" s="83"/>
      <c r="V595" s="83"/>
      <c r="W595" s="83"/>
      <c r="X595" s="83"/>
      <c r="Y595" s="83"/>
      <c r="Z595" s="83"/>
      <c r="AA595" s="83"/>
    </row>
    <row r="596" ht="15.75" customHeight="1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3"/>
      <c r="N596" s="84"/>
      <c r="O596" s="84"/>
      <c r="P596" s="83"/>
      <c r="Q596" s="83"/>
      <c r="R596" s="83"/>
      <c r="S596" s="83"/>
      <c r="T596" s="83"/>
      <c r="U596" s="83"/>
      <c r="V596" s="83"/>
      <c r="W596" s="83"/>
      <c r="X596" s="83"/>
      <c r="Y596" s="83"/>
      <c r="Z596" s="83"/>
      <c r="AA596" s="83"/>
    </row>
    <row r="597" ht="15.75" customHeight="1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3"/>
      <c r="N597" s="84"/>
      <c r="O597" s="84"/>
      <c r="P597" s="83"/>
      <c r="Q597" s="83"/>
      <c r="R597" s="83"/>
      <c r="S597" s="83"/>
      <c r="T597" s="83"/>
      <c r="U597" s="83"/>
      <c r="V597" s="83"/>
      <c r="W597" s="83"/>
      <c r="X597" s="83"/>
      <c r="Y597" s="83"/>
      <c r="Z597" s="83"/>
      <c r="AA597" s="83"/>
    </row>
    <row r="598" ht="15.75" customHeight="1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3"/>
      <c r="N598" s="84"/>
      <c r="O598" s="84"/>
      <c r="P598" s="83"/>
      <c r="Q598" s="83"/>
      <c r="R598" s="83"/>
      <c r="S598" s="83"/>
      <c r="T598" s="83"/>
      <c r="U598" s="83"/>
      <c r="V598" s="83"/>
      <c r="W598" s="83"/>
      <c r="X598" s="83"/>
      <c r="Y598" s="83"/>
      <c r="Z598" s="83"/>
      <c r="AA598" s="83"/>
    </row>
    <row r="599" ht="15.75" customHeight="1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3"/>
      <c r="N599" s="84"/>
      <c r="O599" s="84"/>
      <c r="P599" s="83"/>
      <c r="Q599" s="83"/>
      <c r="R599" s="83"/>
      <c r="S599" s="83"/>
      <c r="T599" s="83"/>
      <c r="U599" s="83"/>
      <c r="V599" s="83"/>
      <c r="W599" s="83"/>
      <c r="X599" s="83"/>
      <c r="Y599" s="83"/>
      <c r="Z599" s="83"/>
      <c r="AA599" s="83"/>
    </row>
    <row r="600" ht="15.75" customHeight="1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3"/>
      <c r="N600" s="84"/>
      <c r="O600" s="84"/>
      <c r="P600" s="83"/>
      <c r="Q600" s="83"/>
      <c r="R600" s="83"/>
      <c r="S600" s="83"/>
      <c r="T600" s="83"/>
      <c r="U600" s="83"/>
      <c r="V600" s="83"/>
      <c r="W600" s="83"/>
      <c r="X600" s="83"/>
      <c r="Y600" s="83"/>
      <c r="Z600" s="83"/>
      <c r="AA600" s="83"/>
    </row>
    <row r="601" ht="15.75" customHeight="1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3"/>
      <c r="N601" s="84"/>
      <c r="O601" s="84"/>
      <c r="P601" s="83"/>
      <c r="Q601" s="83"/>
      <c r="R601" s="83"/>
      <c r="S601" s="83"/>
      <c r="T601" s="83"/>
      <c r="U601" s="83"/>
      <c r="V601" s="83"/>
      <c r="W601" s="83"/>
      <c r="X601" s="83"/>
      <c r="Y601" s="83"/>
      <c r="Z601" s="83"/>
      <c r="AA601" s="83"/>
    </row>
    <row r="602" ht="15.75" customHeight="1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3"/>
      <c r="N602" s="84"/>
      <c r="O602" s="84"/>
      <c r="P602" s="83"/>
      <c r="Q602" s="83"/>
      <c r="R602" s="83"/>
      <c r="S602" s="83"/>
      <c r="T602" s="83"/>
      <c r="U602" s="83"/>
      <c r="V602" s="83"/>
      <c r="W602" s="83"/>
      <c r="X602" s="83"/>
      <c r="Y602" s="83"/>
      <c r="Z602" s="83"/>
      <c r="AA602" s="83"/>
    </row>
    <row r="603" ht="15.75" customHeight="1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3"/>
      <c r="N603" s="84"/>
      <c r="O603" s="84"/>
      <c r="P603" s="83"/>
      <c r="Q603" s="83"/>
      <c r="R603" s="83"/>
      <c r="S603" s="83"/>
      <c r="T603" s="83"/>
      <c r="U603" s="83"/>
      <c r="V603" s="83"/>
      <c r="W603" s="83"/>
      <c r="X603" s="83"/>
      <c r="Y603" s="83"/>
      <c r="Z603" s="83"/>
      <c r="AA603" s="83"/>
    </row>
    <row r="604" ht="15.75" customHeight="1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3"/>
      <c r="N604" s="84"/>
      <c r="O604" s="84"/>
      <c r="P604" s="83"/>
      <c r="Q604" s="83"/>
      <c r="R604" s="83"/>
      <c r="S604" s="83"/>
      <c r="T604" s="83"/>
      <c r="U604" s="83"/>
      <c r="V604" s="83"/>
      <c r="W604" s="83"/>
      <c r="X604" s="83"/>
      <c r="Y604" s="83"/>
      <c r="Z604" s="83"/>
      <c r="AA604" s="83"/>
    </row>
    <row r="605" ht="15.75" customHeight="1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3"/>
      <c r="N605" s="84"/>
      <c r="O605" s="84"/>
      <c r="P605" s="83"/>
      <c r="Q605" s="83"/>
      <c r="R605" s="83"/>
      <c r="S605" s="83"/>
      <c r="T605" s="83"/>
      <c r="U605" s="83"/>
      <c r="V605" s="83"/>
      <c r="W605" s="83"/>
      <c r="X605" s="83"/>
      <c r="Y605" s="83"/>
      <c r="Z605" s="83"/>
      <c r="AA605" s="83"/>
    </row>
    <row r="606" ht="15.75" customHeight="1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3"/>
      <c r="N606" s="84"/>
      <c r="O606" s="84"/>
      <c r="P606" s="83"/>
      <c r="Q606" s="83"/>
      <c r="R606" s="83"/>
      <c r="S606" s="83"/>
      <c r="T606" s="83"/>
      <c r="U606" s="83"/>
      <c r="V606" s="83"/>
      <c r="W606" s="83"/>
      <c r="X606" s="83"/>
      <c r="Y606" s="83"/>
      <c r="Z606" s="83"/>
      <c r="AA606" s="83"/>
    </row>
    <row r="607" ht="15.75" customHeight="1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3"/>
      <c r="N607" s="84"/>
      <c r="O607" s="84"/>
      <c r="P607" s="83"/>
      <c r="Q607" s="83"/>
      <c r="R607" s="83"/>
      <c r="S607" s="83"/>
      <c r="T607" s="83"/>
      <c r="U607" s="83"/>
      <c r="V607" s="83"/>
      <c r="W607" s="83"/>
      <c r="X607" s="83"/>
      <c r="Y607" s="83"/>
      <c r="Z607" s="83"/>
      <c r="AA607" s="83"/>
    </row>
    <row r="608" ht="15.75" customHeight="1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3"/>
      <c r="N608" s="84"/>
      <c r="O608" s="84"/>
      <c r="P608" s="83"/>
      <c r="Q608" s="83"/>
      <c r="R608" s="83"/>
      <c r="S608" s="83"/>
      <c r="T608" s="83"/>
      <c r="U608" s="83"/>
      <c r="V608" s="83"/>
      <c r="W608" s="83"/>
      <c r="X608" s="83"/>
      <c r="Y608" s="83"/>
      <c r="Z608" s="83"/>
      <c r="AA608" s="83"/>
    </row>
    <row r="609" ht="15.75" customHeight="1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3"/>
      <c r="N609" s="84"/>
      <c r="O609" s="84"/>
      <c r="P609" s="83"/>
      <c r="Q609" s="83"/>
      <c r="R609" s="83"/>
      <c r="S609" s="83"/>
      <c r="T609" s="83"/>
      <c r="U609" s="83"/>
      <c r="V609" s="83"/>
      <c r="W609" s="83"/>
      <c r="X609" s="83"/>
      <c r="Y609" s="83"/>
      <c r="Z609" s="83"/>
      <c r="AA609" s="83"/>
    </row>
    <row r="610" ht="15.75" customHeight="1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3"/>
      <c r="N610" s="84"/>
      <c r="O610" s="84"/>
      <c r="P610" s="83"/>
      <c r="Q610" s="83"/>
      <c r="R610" s="83"/>
      <c r="S610" s="83"/>
      <c r="T610" s="83"/>
      <c r="U610" s="83"/>
      <c r="V610" s="83"/>
      <c r="W610" s="83"/>
      <c r="X610" s="83"/>
      <c r="Y610" s="83"/>
      <c r="Z610" s="83"/>
      <c r="AA610" s="83"/>
    </row>
    <row r="611" ht="15.75" customHeight="1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3"/>
      <c r="N611" s="84"/>
      <c r="O611" s="84"/>
      <c r="P611" s="83"/>
      <c r="Q611" s="83"/>
      <c r="R611" s="83"/>
      <c r="S611" s="83"/>
      <c r="T611" s="83"/>
      <c r="U611" s="83"/>
      <c r="V611" s="83"/>
      <c r="W611" s="83"/>
      <c r="X611" s="83"/>
      <c r="Y611" s="83"/>
      <c r="Z611" s="83"/>
      <c r="AA611" s="83"/>
    </row>
    <row r="612" ht="15.75" customHeight="1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3"/>
      <c r="N612" s="84"/>
      <c r="O612" s="84"/>
      <c r="P612" s="83"/>
      <c r="Q612" s="83"/>
      <c r="R612" s="83"/>
      <c r="S612" s="83"/>
      <c r="T612" s="83"/>
      <c r="U612" s="83"/>
      <c r="V612" s="83"/>
      <c r="W612" s="83"/>
      <c r="X612" s="83"/>
      <c r="Y612" s="83"/>
      <c r="Z612" s="83"/>
      <c r="AA612" s="83"/>
    </row>
    <row r="613" ht="15.75" customHeight="1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3"/>
      <c r="N613" s="84"/>
      <c r="O613" s="84"/>
      <c r="P613" s="83"/>
      <c r="Q613" s="83"/>
      <c r="R613" s="83"/>
      <c r="S613" s="83"/>
      <c r="T613" s="83"/>
      <c r="U613" s="83"/>
      <c r="V613" s="83"/>
      <c r="W613" s="83"/>
      <c r="X613" s="83"/>
      <c r="Y613" s="83"/>
      <c r="Z613" s="83"/>
      <c r="AA613" s="83"/>
    </row>
    <row r="614" ht="15.75" customHeight="1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3"/>
      <c r="N614" s="84"/>
      <c r="O614" s="84"/>
      <c r="P614" s="83"/>
      <c r="Q614" s="83"/>
      <c r="R614" s="83"/>
      <c r="S614" s="83"/>
      <c r="T614" s="83"/>
      <c r="U614" s="83"/>
      <c r="V614" s="83"/>
      <c r="W614" s="83"/>
      <c r="X614" s="83"/>
      <c r="Y614" s="83"/>
      <c r="Z614" s="83"/>
      <c r="AA614" s="83"/>
    </row>
    <row r="615" ht="15.75" customHeight="1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3"/>
      <c r="N615" s="84"/>
      <c r="O615" s="84"/>
      <c r="P615" s="83"/>
      <c r="Q615" s="83"/>
      <c r="R615" s="83"/>
      <c r="S615" s="83"/>
      <c r="T615" s="83"/>
      <c r="U615" s="83"/>
      <c r="V615" s="83"/>
      <c r="W615" s="83"/>
      <c r="X615" s="83"/>
      <c r="Y615" s="83"/>
      <c r="Z615" s="83"/>
      <c r="AA615" s="83"/>
    </row>
    <row r="616" ht="15.75" customHeight="1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3"/>
      <c r="N616" s="84"/>
      <c r="O616" s="84"/>
      <c r="P616" s="83"/>
      <c r="Q616" s="83"/>
      <c r="R616" s="83"/>
      <c r="S616" s="83"/>
      <c r="T616" s="83"/>
      <c r="U616" s="83"/>
      <c r="V616" s="83"/>
      <c r="W616" s="83"/>
      <c r="X616" s="83"/>
      <c r="Y616" s="83"/>
      <c r="Z616" s="83"/>
      <c r="AA616" s="83"/>
    </row>
    <row r="617" ht="15.75" customHeight="1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3"/>
      <c r="N617" s="84"/>
      <c r="O617" s="84"/>
      <c r="P617" s="83"/>
      <c r="Q617" s="83"/>
      <c r="R617" s="83"/>
      <c r="S617" s="83"/>
      <c r="T617" s="83"/>
      <c r="U617" s="83"/>
      <c r="V617" s="83"/>
      <c r="W617" s="83"/>
      <c r="X617" s="83"/>
      <c r="Y617" s="83"/>
      <c r="Z617" s="83"/>
      <c r="AA617" s="83"/>
    </row>
    <row r="618" ht="15.75" customHeight="1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3"/>
      <c r="N618" s="84"/>
      <c r="O618" s="84"/>
      <c r="P618" s="83"/>
      <c r="Q618" s="83"/>
      <c r="R618" s="83"/>
      <c r="S618" s="83"/>
      <c r="T618" s="83"/>
      <c r="U618" s="83"/>
      <c r="V618" s="83"/>
      <c r="W618" s="83"/>
      <c r="X618" s="83"/>
      <c r="Y618" s="83"/>
      <c r="Z618" s="83"/>
      <c r="AA618" s="83"/>
    </row>
    <row r="619" ht="15.75" customHeight="1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3"/>
      <c r="N619" s="84"/>
      <c r="O619" s="84"/>
      <c r="P619" s="83"/>
      <c r="Q619" s="83"/>
      <c r="R619" s="83"/>
      <c r="S619" s="83"/>
      <c r="T619" s="83"/>
      <c r="U619" s="83"/>
      <c r="V619" s="83"/>
      <c r="W619" s="83"/>
      <c r="X619" s="83"/>
      <c r="Y619" s="83"/>
      <c r="Z619" s="83"/>
      <c r="AA619" s="83"/>
    </row>
    <row r="620" ht="15.75" customHeight="1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3"/>
      <c r="N620" s="84"/>
      <c r="O620" s="84"/>
      <c r="P620" s="83"/>
      <c r="Q620" s="83"/>
      <c r="R620" s="83"/>
      <c r="S620" s="83"/>
      <c r="T620" s="83"/>
      <c r="U620" s="83"/>
      <c r="V620" s="83"/>
      <c r="W620" s="83"/>
      <c r="X620" s="83"/>
      <c r="Y620" s="83"/>
      <c r="Z620" s="83"/>
      <c r="AA620" s="83"/>
    </row>
    <row r="621" ht="15.75" customHeight="1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3"/>
      <c r="N621" s="84"/>
      <c r="O621" s="84"/>
      <c r="P621" s="83"/>
      <c r="Q621" s="83"/>
      <c r="R621" s="83"/>
      <c r="S621" s="83"/>
      <c r="T621" s="83"/>
      <c r="U621" s="83"/>
      <c r="V621" s="83"/>
      <c r="W621" s="83"/>
      <c r="X621" s="83"/>
      <c r="Y621" s="83"/>
      <c r="Z621" s="83"/>
      <c r="AA621" s="83"/>
    </row>
    <row r="622" ht="15.75" customHeight="1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3"/>
      <c r="N622" s="84"/>
      <c r="O622" s="84"/>
      <c r="P622" s="83"/>
      <c r="Q622" s="83"/>
      <c r="R622" s="83"/>
      <c r="S622" s="83"/>
      <c r="T622" s="83"/>
      <c r="U622" s="83"/>
      <c r="V622" s="83"/>
      <c r="W622" s="83"/>
      <c r="X622" s="83"/>
      <c r="Y622" s="83"/>
      <c r="Z622" s="83"/>
      <c r="AA622" s="83"/>
    </row>
    <row r="623" ht="15.75" customHeight="1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3"/>
      <c r="N623" s="84"/>
      <c r="O623" s="84"/>
      <c r="P623" s="83"/>
      <c r="Q623" s="83"/>
      <c r="R623" s="83"/>
      <c r="S623" s="83"/>
      <c r="T623" s="83"/>
      <c r="U623" s="83"/>
      <c r="V623" s="83"/>
      <c r="W623" s="83"/>
      <c r="X623" s="83"/>
      <c r="Y623" s="83"/>
      <c r="Z623" s="83"/>
      <c r="AA623" s="83"/>
    </row>
    <row r="624" ht="15.75" customHeight="1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3"/>
      <c r="N624" s="84"/>
      <c r="O624" s="84"/>
      <c r="P624" s="83"/>
      <c r="Q624" s="83"/>
      <c r="R624" s="83"/>
      <c r="S624" s="83"/>
      <c r="T624" s="83"/>
      <c r="U624" s="83"/>
      <c r="V624" s="83"/>
      <c r="W624" s="83"/>
      <c r="X624" s="83"/>
      <c r="Y624" s="83"/>
      <c r="Z624" s="83"/>
      <c r="AA624" s="83"/>
    </row>
    <row r="625" ht="15.75" customHeight="1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3"/>
      <c r="N625" s="84"/>
      <c r="O625" s="84"/>
      <c r="P625" s="83"/>
      <c r="Q625" s="83"/>
      <c r="R625" s="83"/>
      <c r="S625" s="83"/>
      <c r="T625" s="83"/>
      <c r="U625" s="83"/>
      <c r="V625" s="83"/>
      <c r="W625" s="83"/>
      <c r="X625" s="83"/>
      <c r="Y625" s="83"/>
      <c r="Z625" s="83"/>
      <c r="AA625" s="83"/>
    </row>
    <row r="626" ht="15.75" customHeight="1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3"/>
      <c r="N626" s="84"/>
      <c r="O626" s="84"/>
      <c r="P626" s="83"/>
      <c r="Q626" s="83"/>
      <c r="R626" s="83"/>
      <c r="S626" s="83"/>
      <c r="T626" s="83"/>
      <c r="U626" s="83"/>
      <c r="V626" s="83"/>
      <c r="W626" s="83"/>
      <c r="X626" s="83"/>
      <c r="Y626" s="83"/>
      <c r="Z626" s="83"/>
      <c r="AA626" s="83"/>
    </row>
    <row r="627" ht="15.75" customHeight="1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3"/>
      <c r="N627" s="84"/>
      <c r="O627" s="84"/>
      <c r="P627" s="83"/>
      <c r="Q627" s="83"/>
      <c r="R627" s="83"/>
      <c r="S627" s="83"/>
      <c r="T627" s="83"/>
      <c r="U627" s="83"/>
      <c r="V627" s="83"/>
      <c r="W627" s="83"/>
      <c r="X627" s="83"/>
      <c r="Y627" s="83"/>
      <c r="Z627" s="83"/>
      <c r="AA627" s="83"/>
    </row>
    <row r="628" ht="15.75" customHeight="1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3"/>
      <c r="N628" s="84"/>
      <c r="O628" s="84"/>
      <c r="P628" s="83"/>
      <c r="Q628" s="83"/>
      <c r="R628" s="83"/>
      <c r="S628" s="83"/>
      <c r="T628" s="83"/>
      <c r="U628" s="83"/>
      <c r="V628" s="83"/>
      <c r="W628" s="83"/>
      <c r="X628" s="83"/>
      <c r="Y628" s="83"/>
      <c r="Z628" s="83"/>
      <c r="AA628" s="83"/>
    </row>
    <row r="629" ht="15.75" customHeight="1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3"/>
      <c r="N629" s="84"/>
      <c r="O629" s="84"/>
      <c r="P629" s="83"/>
      <c r="Q629" s="83"/>
      <c r="R629" s="83"/>
      <c r="S629" s="83"/>
      <c r="T629" s="83"/>
      <c r="U629" s="83"/>
      <c r="V629" s="83"/>
      <c r="W629" s="83"/>
      <c r="X629" s="83"/>
      <c r="Y629" s="83"/>
      <c r="Z629" s="83"/>
      <c r="AA629" s="83"/>
    </row>
    <row r="630" ht="15.75" customHeight="1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3"/>
      <c r="N630" s="84"/>
      <c r="O630" s="84"/>
      <c r="P630" s="83"/>
      <c r="Q630" s="83"/>
      <c r="R630" s="83"/>
      <c r="S630" s="83"/>
      <c r="T630" s="83"/>
      <c r="U630" s="83"/>
      <c r="V630" s="83"/>
      <c r="W630" s="83"/>
      <c r="X630" s="83"/>
      <c r="Y630" s="83"/>
      <c r="Z630" s="83"/>
      <c r="AA630" s="83"/>
    </row>
    <row r="631" ht="15.75" customHeight="1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3"/>
      <c r="N631" s="84"/>
      <c r="O631" s="84"/>
      <c r="P631" s="83"/>
      <c r="Q631" s="83"/>
      <c r="R631" s="83"/>
      <c r="S631" s="83"/>
      <c r="T631" s="83"/>
      <c r="U631" s="83"/>
      <c r="V631" s="83"/>
      <c r="W631" s="83"/>
      <c r="X631" s="83"/>
      <c r="Y631" s="83"/>
      <c r="Z631" s="83"/>
      <c r="AA631" s="83"/>
    </row>
    <row r="632" ht="15.75" customHeight="1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3"/>
      <c r="N632" s="84"/>
      <c r="O632" s="84"/>
      <c r="P632" s="83"/>
      <c r="Q632" s="83"/>
      <c r="R632" s="83"/>
      <c r="S632" s="83"/>
      <c r="T632" s="83"/>
      <c r="U632" s="83"/>
      <c r="V632" s="83"/>
      <c r="W632" s="83"/>
      <c r="X632" s="83"/>
      <c r="Y632" s="83"/>
      <c r="Z632" s="83"/>
      <c r="AA632" s="83"/>
    </row>
    <row r="633" ht="15.75" customHeight="1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3"/>
      <c r="N633" s="84"/>
      <c r="O633" s="84"/>
      <c r="P633" s="83"/>
      <c r="Q633" s="83"/>
      <c r="R633" s="83"/>
      <c r="S633" s="83"/>
      <c r="T633" s="83"/>
      <c r="U633" s="83"/>
      <c r="V633" s="83"/>
      <c r="W633" s="83"/>
      <c r="X633" s="83"/>
      <c r="Y633" s="83"/>
      <c r="Z633" s="83"/>
      <c r="AA633" s="83"/>
    </row>
    <row r="634" ht="15.75" customHeight="1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3"/>
      <c r="N634" s="84"/>
      <c r="O634" s="84"/>
      <c r="P634" s="83"/>
      <c r="Q634" s="83"/>
      <c r="R634" s="83"/>
      <c r="S634" s="83"/>
      <c r="T634" s="83"/>
      <c r="U634" s="83"/>
      <c r="V634" s="83"/>
      <c r="W634" s="83"/>
      <c r="X634" s="83"/>
      <c r="Y634" s="83"/>
      <c r="Z634" s="83"/>
      <c r="AA634" s="83"/>
    </row>
    <row r="635" ht="15.75" customHeight="1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3"/>
      <c r="N635" s="84"/>
      <c r="O635" s="84"/>
      <c r="P635" s="83"/>
      <c r="Q635" s="83"/>
      <c r="R635" s="83"/>
      <c r="S635" s="83"/>
      <c r="T635" s="83"/>
      <c r="U635" s="83"/>
      <c r="V635" s="83"/>
      <c r="W635" s="83"/>
      <c r="X635" s="83"/>
      <c r="Y635" s="83"/>
      <c r="Z635" s="83"/>
      <c r="AA635" s="83"/>
    </row>
    <row r="636" ht="15.75" customHeight="1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3"/>
      <c r="N636" s="84"/>
      <c r="O636" s="84"/>
      <c r="P636" s="83"/>
      <c r="Q636" s="83"/>
      <c r="R636" s="83"/>
      <c r="S636" s="83"/>
      <c r="T636" s="83"/>
      <c r="U636" s="83"/>
      <c r="V636" s="83"/>
      <c r="W636" s="83"/>
      <c r="X636" s="83"/>
      <c r="Y636" s="83"/>
      <c r="Z636" s="83"/>
      <c r="AA636" s="83"/>
    </row>
    <row r="637" ht="15.75" customHeight="1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3"/>
      <c r="N637" s="84"/>
      <c r="O637" s="84"/>
      <c r="P637" s="83"/>
      <c r="Q637" s="83"/>
      <c r="R637" s="83"/>
      <c r="S637" s="83"/>
      <c r="T637" s="83"/>
      <c r="U637" s="83"/>
      <c r="V637" s="83"/>
      <c r="W637" s="83"/>
      <c r="X637" s="83"/>
      <c r="Y637" s="83"/>
      <c r="Z637" s="83"/>
      <c r="AA637" s="83"/>
    </row>
    <row r="638" ht="15.75" customHeight="1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3"/>
      <c r="N638" s="84"/>
      <c r="O638" s="84"/>
      <c r="P638" s="83"/>
      <c r="Q638" s="83"/>
      <c r="R638" s="83"/>
      <c r="S638" s="83"/>
      <c r="T638" s="83"/>
      <c r="U638" s="83"/>
      <c r="V638" s="83"/>
      <c r="W638" s="83"/>
      <c r="X638" s="83"/>
      <c r="Y638" s="83"/>
      <c r="Z638" s="83"/>
      <c r="AA638" s="83"/>
    </row>
    <row r="639" ht="15.75" customHeight="1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3"/>
      <c r="N639" s="84"/>
      <c r="O639" s="84"/>
      <c r="P639" s="83"/>
      <c r="Q639" s="83"/>
      <c r="R639" s="83"/>
      <c r="S639" s="83"/>
      <c r="T639" s="83"/>
      <c r="U639" s="83"/>
      <c r="V639" s="83"/>
      <c r="W639" s="83"/>
      <c r="X639" s="83"/>
      <c r="Y639" s="83"/>
      <c r="Z639" s="83"/>
      <c r="AA639" s="83"/>
    </row>
    <row r="640" ht="15.75" customHeight="1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3"/>
      <c r="N640" s="84"/>
      <c r="O640" s="84"/>
      <c r="P640" s="83"/>
      <c r="Q640" s="83"/>
      <c r="R640" s="83"/>
      <c r="S640" s="83"/>
      <c r="T640" s="83"/>
      <c r="U640" s="83"/>
      <c r="V640" s="83"/>
      <c r="W640" s="83"/>
      <c r="X640" s="83"/>
      <c r="Y640" s="83"/>
      <c r="Z640" s="83"/>
      <c r="AA640" s="83"/>
    </row>
    <row r="641" ht="15.75" customHeight="1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3"/>
      <c r="N641" s="84"/>
      <c r="O641" s="84"/>
      <c r="P641" s="83"/>
      <c r="Q641" s="83"/>
      <c r="R641" s="83"/>
      <c r="S641" s="83"/>
      <c r="T641" s="83"/>
      <c r="U641" s="83"/>
      <c r="V641" s="83"/>
      <c r="W641" s="83"/>
      <c r="X641" s="83"/>
      <c r="Y641" s="83"/>
      <c r="Z641" s="83"/>
      <c r="AA641" s="83"/>
    </row>
    <row r="642" ht="15.75" customHeight="1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3"/>
      <c r="N642" s="84"/>
      <c r="O642" s="84"/>
      <c r="P642" s="83"/>
      <c r="Q642" s="83"/>
      <c r="R642" s="83"/>
      <c r="S642" s="83"/>
      <c r="T642" s="83"/>
      <c r="U642" s="83"/>
      <c r="V642" s="83"/>
      <c r="W642" s="83"/>
      <c r="X642" s="83"/>
      <c r="Y642" s="83"/>
      <c r="Z642" s="83"/>
      <c r="AA642" s="83"/>
    </row>
    <row r="643" ht="15.75" customHeight="1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3"/>
      <c r="N643" s="84"/>
      <c r="O643" s="84"/>
      <c r="P643" s="83"/>
      <c r="Q643" s="83"/>
      <c r="R643" s="83"/>
      <c r="S643" s="83"/>
      <c r="T643" s="83"/>
      <c r="U643" s="83"/>
      <c r="V643" s="83"/>
      <c r="W643" s="83"/>
      <c r="X643" s="83"/>
      <c r="Y643" s="83"/>
      <c r="Z643" s="83"/>
      <c r="AA643" s="83"/>
    </row>
    <row r="644" ht="15.75" customHeight="1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3"/>
      <c r="N644" s="84"/>
      <c r="O644" s="84"/>
      <c r="P644" s="83"/>
      <c r="Q644" s="83"/>
      <c r="R644" s="83"/>
      <c r="S644" s="83"/>
      <c r="T644" s="83"/>
      <c r="U644" s="83"/>
      <c r="V644" s="83"/>
      <c r="W644" s="83"/>
      <c r="X644" s="83"/>
      <c r="Y644" s="83"/>
      <c r="Z644" s="83"/>
      <c r="AA644" s="83"/>
    </row>
    <row r="645" ht="15.75" customHeight="1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3"/>
      <c r="N645" s="84"/>
      <c r="O645" s="84"/>
      <c r="P645" s="83"/>
      <c r="Q645" s="83"/>
      <c r="R645" s="83"/>
      <c r="S645" s="83"/>
      <c r="T645" s="83"/>
      <c r="U645" s="83"/>
      <c r="V645" s="83"/>
      <c r="W645" s="83"/>
      <c r="X645" s="83"/>
      <c r="Y645" s="83"/>
      <c r="Z645" s="83"/>
      <c r="AA645" s="83"/>
    </row>
    <row r="646" ht="15.75" customHeight="1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3"/>
      <c r="N646" s="84"/>
      <c r="O646" s="84"/>
      <c r="P646" s="83"/>
      <c r="Q646" s="83"/>
      <c r="R646" s="83"/>
      <c r="S646" s="83"/>
      <c r="T646" s="83"/>
      <c r="U646" s="83"/>
      <c r="V646" s="83"/>
      <c r="W646" s="83"/>
      <c r="X646" s="83"/>
      <c r="Y646" s="83"/>
      <c r="Z646" s="83"/>
      <c r="AA646" s="83"/>
    </row>
    <row r="647" ht="15.75" customHeight="1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3"/>
      <c r="N647" s="84"/>
      <c r="O647" s="84"/>
      <c r="P647" s="83"/>
      <c r="Q647" s="83"/>
      <c r="R647" s="83"/>
      <c r="S647" s="83"/>
      <c r="T647" s="83"/>
      <c r="U647" s="83"/>
      <c r="V647" s="83"/>
      <c r="W647" s="83"/>
      <c r="X647" s="83"/>
      <c r="Y647" s="83"/>
      <c r="Z647" s="83"/>
      <c r="AA647" s="83"/>
    </row>
    <row r="648" ht="15.75" customHeight="1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3"/>
      <c r="N648" s="84"/>
      <c r="O648" s="84"/>
      <c r="P648" s="83"/>
      <c r="Q648" s="83"/>
      <c r="R648" s="83"/>
      <c r="S648" s="83"/>
      <c r="T648" s="83"/>
      <c r="U648" s="83"/>
      <c r="V648" s="83"/>
      <c r="W648" s="83"/>
      <c r="X648" s="83"/>
      <c r="Y648" s="83"/>
      <c r="Z648" s="83"/>
      <c r="AA648" s="83"/>
    </row>
    <row r="649" ht="15.75" customHeight="1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3"/>
      <c r="N649" s="84"/>
      <c r="O649" s="84"/>
      <c r="P649" s="83"/>
      <c r="Q649" s="83"/>
      <c r="R649" s="83"/>
      <c r="S649" s="83"/>
      <c r="T649" s="83"/>
      <c r="U649" s="83"/>
      <c r="V649" s="83"/>
      <c r="W649" s="83"/>
      <c r="X649" s="83"/>
      <c r="Y649" s="83"/>
      <c r="Z649" s="83"/>
      <c r="AA649" s="83"/>
    </row>
    <row r="650" ht="15.75" customHeight="1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3"/>
      <c r="N650" s="84"/>
      <c r="O650" s="84"/>
      <c r="P650" s="83"/>
      <c r="Q650" s="83"/>
      <c r="R650" s="83"/>
      <c r="S650" s="83"/>
      <c r="T650" s="83"/>
      <c r="U650" s="83"/>
      <c r="V650" s="83"/>
      <c r="W650" s="83"/>
      <c r="X650" s="83"/>
      <c r="Y650" s="83"/>
      <c r="Z650" s="83"/>
      <c r="AA650" s="83"/>
    </row>
    <row r="651" ht="15.75" customHeight="1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3"/>
      <c r="N651" s="84"/>
      <c r="O651" s="84"/>
      <c r="P651" s="83"/>
      <c r="Q651" s="83"/>
      <c r="R651" s="83"/>
      <c r="S651" s="83"/>
      <c r="T651" s="83"/>
      <c r="U651" s="83"/>
      <c r="V651" s="83"/>
      <c r="W651" s="83"/>
      <c r="X651" s="83"/>
      <c r="Y651" s="83"/>
      <c r="Z651" s="83"/>
      <c r="AA651" s="83"/>
    </row>
    <row r="652" ht="15.75" customHeight="1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3"/>
      <c r="N652" s="84"/>
      <c r="O652" s="84"/>
      <c r="P652" s="83"/>
      <c r="Q652" s="83"/>
      <c r="R652" s="83"/>
      <c r="S652" s="83"/>
      <c r="T652" s="83"/>
      <c r="U652" s="83"/>
      <c r="V652" s="83"/>
      <c r="W652" s="83"/>
      <c r="X652" s="83"/>
      <c r="Y652" s="83"/>
      <c r="Z652" s="83"/>
      <c r="AA652" s="83"/>
    </row>
    <row r="653" ht="15.75" customHeight="1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3"/>
      <c r="N653" s="84"/>
      <c r="O653" s="84"/>
      <c r="P653" s="83"/>
      <c r="Q653" s="83"/>
      <c r="R653" s="83"/>
      <c r="S653" s="83"/>
      <c r="T653" s="83"/>
      <c r="U653" s="83"/>
      <c r="V653" s="83"/>
      <c r="W653" s="83"/>
      <c r="X653" s="83"/>
      <c r="Y653" s="83"/>
      <c r="Z653" s="83"/>
      <c r="AA653" s="83"/>
    </row>
    <row r="654" ht="15.75" customHeight="1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3"/>
      <c r="N654" s="84"/>
      <c r="O654" s="84"/>
      <c r="P654" s="83"/>
      <c r="Q654" s="83"/>
      <c r="R654" s="83"/>
      <c r="S654" s="83"/>
      <c r="T654" s="83"/>
      <c r="U654" s="83"/>
      <c r="V654" s="83"/>
      <c r="W654" s="83"/>
      <c r="X654" s="83"/>
      <c r="Y654" s="83"/>
      <c r="Z654" s="83"/>
      <c r="AA654" s="83"/>
    </row>
    <row r="655" ht="15.75" customHeight="1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3"/>
      <c r="N655" s="84"/>
      <c r="O655" s="84"/>
      <c r="P655" s="83"/>
      <c r="Q655" s="83"/>
      <c r="R655" s="83"/>
      <c r="S655" s="83"/>
      <c r="T655" s="83"/>
      <c r="U655" s="83"/>
      <c r="V655" s="83"/>
      <c r="W655" s="83"/>
      <c r="X655" s="83"/>
      <c r="Y655" s="83"/>
      <c r="Z655" s="83"/>
      <c r="AA655" s="83"/>
    </row>
    <row r="656" ht="15.75" customHeight="1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3"/>
      <c r="N656" s="84"/>
      <c r="O656" s="84"/>
      <c r="P656" s="83"/>
      <c r="Q656" s="83"/>
      <c r="R656" s="83"/>
      <c r="S656" s="83"/>
      <c r="T656" s="83"/>
      <c r="U656" s="83"/>
      <c r="V656" s="83"/>
      <c r="W656" s="83"/>
      <c r="X656" s="83"/>
      <c r="Y656" s="83"/>
      <c r="Z656" s="83"/>
      <c r="AA656" s="83"/>
    </row>
    <row r="657" ht="15.75" customHeight="1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3"/>
      <c r="N657" s="84"/>
      <c r="O657" s="84"/>
      <c r="P657" s="83"/>
      <c r="Q657" s="83"/>
      <c r="R657" s="83"/>
      <c r="S657" s="83"/>
      <c r="T657" s="83"/>
      <c r="U657" s="83"/>
      <c r="V657" s="83"/>
      <c r="W657" s="83"/>
      <c r="X657" s="83"/>
      <c r="Y657" s="83"/>
      <c r="Z657" s="83"/>
      <c r="AA657" s="83"/>
    </row>
    <row r="658" ht="15.75" customHeight="1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3"/>
      <c r="N658" s="84"/>
      <c r="O658" s="84"/>
      <c r="P658" s="83"/>
      <c r="Q658" s="83"/>
      <c r="R658" s="83"/>
      <c r="S658" s="83"/>
      <c r="T658" s="83"/>
      <c r="U658" s="83"/>
      <c r="V658" s="83"/>
      <c r="W658" s="83"/>
      <c r="X658" s="83"/>
      <c r="Y658" s="83"/>
      <c r="Z658" s="83"/>
      <c r="AA658" s="83"/>
    </row>
    <row r="659" ht="15.75" customHeight="1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3"/>
      <c r="N659" s="84"/>
      <c r="O659" s="84"/>
      <c r="P659" s="83"/>
      <c r="Q659" s="83"/>
      <c r="R659" s="83"/>
      <c r="S659" s="83"/>
      <c r="T659" s="83"/>
      <c r="U659" s="83"/>
      <c r="V659" s="83"/>
      <c r="W659" s="83"/>
      <c r="X659" s="83"/>
      <c r="Y659" s="83"/>
      <c r="Z659" s="83"/>
      <c r="AA659" s="83"/>
    </row>
    <row r="660" ht="15.75" customHeight="1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3"/>
      <c r="N660" s="84"/>
      <c r="O660" s="84"/>
      <c r="P660" s="83"/>
      <c r="Q660" s="83"/>
      <c r="R660" s="83"/>
      <c r="S660" s="83"/>
      <c r="T660" s="83"/>
      <c r="U660" s="83"/>
      <c r="V660" s="83"/>
      <c r="W660" s="83"/>
      <c r="X660" s="83"/>
      <c r="Y660" s="83"/>
      <c r="Z660" s="83"/>
      <c r="AA660" s="83"/>
    </row>
    <row r="661" ht="15.75" customHeight="1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3"/>
      <c r="N661" s="84"/>
      <c r="O661" s="84"/>
      <c r="P661" s="83"/>
      <c r="Q661" s="83"/>
      <c r="R661" s="83"/>
      <c r="S661" s="83"/>
      <c r="T661" s="83"/>
      <c r="U661" s="83"/>
      <c r="V661" s="83"/>
      <c r="W661" s="83"/>
      <c r="X661" s="83"/>
      <c r="Y661" s="83"/>
      <c r="Z661" s="83"/>
      <c r="AA661" s="83"/>
    </row>
    <row r="662" ht="15.75" customHeight="1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3"/>
      <c r="N662" s="84"/>
      <c r="O662" s="84"/>
      <c r="P662" s="83"/>
      <c r="Q662" s="83"/>
      <c r="R662" s="83"/>
      <c r="S662" s="83"/>
      <c r="T662" s="83"/>
      <c r="U662" s="83"/>
      <c r="V662" s="83"/>
      <c r="W662" s="83"/>
      <c r="X662" s="83"/>
      <c r="Y662" s="83"/>
      <c r="Z662" s="83"/>
      <c r="AA662" s="83"/>
    </row>
    <row r="663" ht="15.75" customHeight="1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3"/>
      <c r="N663" s="84"/>
      <c r="O663" s="84"/>
      <c r="P663" s="83"/>
      <c r="Q663" s="83"/>
      <c r="R663" s="83"/>
      <c r="S663" s="83"/>
      <c r="T663" s="83"/>
      <c r="U663" s="83"/>
      <c r="V663" s="83"/>
      <c r="W663" s="83"/>
      <c r="X663" s="83"/>
      <c r="Y663" s="83"/>
      <c r="Z663" s="83"/>
      <c r="AA663" s="83"/>
    </row>
    <row r="664" ht="15.75" customHeight="1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3"/>
      <c r="N664" s="84"/>
      <c r="O664" s="84"/>
      <c r="P664" s="83"/>
      <c r="Q664" s="83"/>
      <c r="R664" s="83"/>
      <c r="S664" s="83"/>
      <c r="T664" s="83"/>
      <c r="U664" s="83"/>
      <c r="V664" s="83"/>
      <c r="W664" s="83"/>
      <c r="X664" s="83"/>
      <c r="Y664" s="83"/>
      <c r="Z664" s="83"/>
      <c r="AA664" s="83"/>
    </row>
    <row r="665" ht="15.75" customHeight="1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3"/>
      <c r="N665" s="84"/>
      <c r="O665" s="84"/>
      <c r="P665" s="83"/>
      <c r="Q665" s="83"/>
      <c r="R665" s="83"/>
      <c r="S665" s="83"/>
      <c r="T665" s="83"/>
      <c r="U665" s="83"/>
      <c r="V665" s="83"/>
      <c r="W665" s="83"/>
      <c r="X665" s="83"/>
      <c r="Y665" s="83"/>
      <c r="Z665" s="83"/>
      <c r="AA665" s="83"/>
    </row>
    <row r="666" ht="15.75" customHeight="1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3"/>
      <c r="N666" s="84"/>
      <c r="O666" s="84"/>
      <c r="P666" s="83"/>
      <c r="Q666" s="83"/>
      <c r="R666" s="83"/>
      <c r="S666" s="83"/>
      <c r="T666" s="83"/>
      <c r="U666" s="83"/>
      <c r="V666" s="83"/>
      <c r="W666" s="83"/>
      <c r="X666" s="83"/>
      <c r="Y666" s="83"/>
      <c r="Z666" s="83"/>
      <c r="AA666" s="83"/>
    </row>
    <row r="667" ht="15.75" customHeight="1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3"/>
      <c r="N667" s="84"/>
      <c r="O667" s="84"/>
      <c r="P667" s="83"/>
      <c r="Q667" s="83"/>
      <c r="R667" s="83"/>
      <c r="S667" s="83"/>
      <c r="T667" s="83"/>
      <c r="U667" s="83"/>
      <c r="V667" s="83"/>
      <c r="W667" s="83"/>
      <c r="X667" s="83"/>
      <c r="Y667" s="83"/>
      <c r="Z667" s="83"/>
      <c r="AA667" s="83"/>
    </row>
    <row r="668" ht="15.75" customHeight="1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3"/>
      <c r="N668" s="84"/>
      <c r="O668" s="84"/>
      <c r="P668" s="83"/>
      <c r="Q668" s="83"/>
      <c r="R668" s="83"/>
      <c r="S668" s="83"/>
      <c r="T668" s="83"/>
      <c r="U668" s="83"/>
      <c r="V668" s="83"/>
      <c r="W668" s="83"/>
      <c r="X668" s="83"/>
      <c r="Y668" s="83"/>
      <c r="Z668" s="83"/>
      <c r="AA668" s="83"/>
    </row>
    <row r="669" ht="15.75" customHeight="1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3"/>
      <c r="N669" s="84"/>
      <c r="O669" s="84"/>
      <c r="P669" s="83"/>
      <c r="Q669" s="83"/>
      <c r="R669" s="83"/>
      <c r="S669" s="83"/>
      <c r="T669" s="83"/>
      <c r="U669" s="83"/>
      <c r="V669" s="83"/>
      <c r="W669" s="83"/>
      <c r="X669" s="83"/>
      <c r="Y669" s="83"/>
      <c r="Z669" s="83"/>
      <c r="AA669" s="83"/>
    </row>
    <row r="670" ht="15.75" customHeight="1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3"/>
      <c r="N670" s="84"/>
      <c r="O670" s="84"/>
      <c r="P670" s="83"/>
      <c r="Q670" s="83"/>
      <c r="R670" s="83"/>
      <c r="S670" s="83"/>
      <c r="T670" s="83"/>
      <c r="U670" s="83"/>
      <c r="V670" s="83"/>
      <c r="W670" s="83"/>
      <c r="X670" s="83"/>
      <c r="Y670" s="83"/>
      <c r="Z670" s="83"/>
      <c r="AA670" s="83"/>
    </row>
    <row r="671" ht="15.75" customHeight="1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3"/>
      <c r="N671" s="84"/>
      <c r="O671" s="84"/>
      <c r="P671" s="83"/>
      <c r="Q671" s="83"/>
      <c r="R671" s="83"/>
      <c r="S671" s="83"/>
      <c r="T671" s="83"/>
      <c r="U671" s="83"/>
      <c r="V671" s="83"/>
      <c r="W671" s="83"/>
      <c r="X671" s="83"/>
      <c r="Y671" s="83"/>
      <c r="Z671" s="83"/>
      <c r="AA671" s="83"/>
    </row>
    <row r="672" ht="15.75" customHeight="1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3"/>
      <c r="N672" s="84"/>
      <c r="O672" s="84"/>
      <c r="P672" s="83"/>
      <c r="Q672" s="83"/>
      <c r="R672" s="83"/>
      <c r="S672" s="83"/>
      <c r="T672" s="83"/>
      <c r="U672" s="83"/>
      <c r="V672" s="83"/>
      <c r="W672" s="83"/>
      <c r="X672" s="83"/>
      <c r="Y672" s="83"/>
      <c r="Z672" s="83"/>
      <c r="AA672" s="83"/>
    </row>
    <row r="673" ht="15.75" customHeight="1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3"/>
      <c r="N673" s="84"/>
      <c r="O673" s="84"/>
      <c r="P673" s="83"/>
      <c r="Q673" s="83"/>
      <c r="R673" s="83"/>
      <c r="S673" s="83"/>
      <c r="T673" s="83"/>
      <c r="U673" s="83"/>
      <c r="V673" s="83"/>
      <c r="W673" s="83"/>
      <c r="X673" s="83"/>
      <c r="Y673" s="83"/>
      <c r="Z673" s="83"/>
      <c r="AA673" s="83"/>
    </row>
    <row r="674" ht="15.75" customHeight="1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3"/>
      <c r="N674" s="84"/>
      <c r="O674" s="84"/>
      <c r="P674" s="83"/>
      <c r="Q674" s="83"/>
      <c r="R674" s="83"/>
      <c r="S674" s="83"/>
      <c r="T674" s="83"/>
      <c r="U674" s="83"/>
      <c r="V674" s="83"/>
      <c r="W674" s="83"/>
      <c r="X674" s="83"/>
      <c r="Y674" s="83"/>
      <c r="Z674" s="83"/>
      <c r="AA674" s="83"/>
    </row>
    <row r="675" ht="15.75" customHeight="1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3"/>
      <c r="N675" s="84"/>
      <c r="O675" s="84"/>
      <c r="P675" s="83"/>
      <c r="Q675" s="83"/>
      <c r="R675" s="83"/>
      <c r="S675" s="83"/>
      <c r="T675" s="83"/>
      <c r="U675" s="83"/>
      <c r="V675" s="83"/>
      <c r="W675" s="83"/>
      <c r="X675" s="83"/>
      <c r="Y675" s="83"/>
      <c r="Z675" s="83"/>
      <c r="AA675" s="83"/>
    </row>
    <row r="676" ht="15.75" customHeight="1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3"/>
      <c r="N676" s="84"/>
      <c r="O676" s="84"/>
      <c r="P676" s="83"/>
      <c r="Q676" s="83"/>
      <c r="R676" s="83"/>
      <c r="S676" s="83"/>
      <c r="T676" s="83"/>
      <c r="U676" s="83"/>
      <c r="V676" s="83"/>
      <c r="W676" s="83"/>
      <c r="X676" s="83"/>
      <c r="Y676" s="83"/>
      <c r="Z676" s="83"/>
      <c r="AA676" s="83"/>
    </row>
    <row r="677" ht="15.75" customHeight="1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3"/>
      <c r="N677" s="84"/>
      <c r="O677" s="84"/>
      <c r="P677" s="83"/>
      <c r="Q677" s="83"/>
      <c r="R677" s="83"/>
      <c r="S677" s="83"/>
      <c r="T677" s="83"/>
      <c r="U677" s="83"/>
      <c r="V677" s="83"/>
      <c r="W677" s="83"/>
      <c r="X677" s="83"/>
      <c r="Y677" s="83"/>
      <c r="Z677" s="83"/>
      <c r="AA677" s="83"/>
    </row>
    <row r="678" ht="15.75" customHeight="1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3"/>
      <c r="N678" s="84"/>
      <c r="O678" s="84"/>
      <c r="P678" s="83"/>
      <c r="Q678" s="83"/>
      <c r="R678" s="83"/>
      <c r="S678" s="83"/>
      <c r="T678" s="83"/>
      <c r="U678" s="83"/>
      <c r="V678" s="83"/>
      <c r="W678" s="83"/>
      <c r="X678" s="83"/>
      <c r="Y678" s="83"/>
      <c r="Z678" s="83"/>
      <c r="AA678" s="83"/>
    </row>
    <row r="679" ht="15.75" customHeight="1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3"/>
      <c r="N679" s="84"/>
      <c r="O679" s="84"/>
      <c r="P679" s="83"/>
      <c r="Q679" s="83"/>
      <c r="R679" s="83"/>
      <c r="S679" s="83"/>
      <c r="T679" s="83"/>
      <c r="U679" s="83"/>
      <c r="V679" s="83"/>
      <c r="W679" s="83"/>
      <c r="X679" s="83"/>
      <c r="Y679" s="83"/>
      <c r="Z679" s="83"/>
      <c r="AA679" s="83"/>
    </row>
    <row r="680" ht="15.75" customHeight="1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3"/>
      <c r="N680" s="84"/>
      <c r="O680" s="84"/>
      <c r="P680" s="83"/>
      <c r="Q680" s="83"/>
      <c r="R680" s="83"/>
      <c r="S680" s="83"/>
      <c r="T680" s="83"/>
      <c r="U680" s="83"/>
      <c r="V680" s="83"/>
      <c r="W680" s="83"/>
      <c r="X680" s="83"/>
      <c r="Y680" s="83"/>
      <c r="Z680" s="83"/>
      <c r="AA680" s="83"/>
    </row>
    <row r="681" ht="15.75" customHeight="1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3"/>
      <c r="N681" s="84"/>
      <c r="O681" s="84"/>
      <c r="P681" s="83"/>
      <c r="Q681" s="83"/>
      <c r="R681" s="83"/>
      <c r="S681" s="83"/>
      <c r="T681" s="83"/>
      <c r="U681" s="83"/>
      <c r="V681" s="83"/>
      <c r="W681" s="83"/>
      <c r="X681" s="83"/>
      <c r="Y681" s="83"/>
      <c r="Z681" s="83"/>
      <c r="AA681" s="83"/>
    </row>
    <row r="682" ht="15.75" customHeight="1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3"/>
      <c r="N682" s="84"/>
      <c r="O682" s="84"/>
      <c r="P682" s="83"/>
      <c r="Q682" s="83"/>
      <c r="R682" s="83"/>
      <c r="S682" s="83"/>
      <c r="T682" s="83"/>
      <c r="U682" s="83"/>
      <c r="V682" s="83"/>
      <c r="W682" s="83"/>
      <c r="X682" s="83"/>
      <c r="Y682" s="83"/>
      <c r="Z682" s="83"/>
      <c r="AA682" s="83"/>
    </row>
    <row r="683" ht="15.75" customHeight="1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3"/>
      <c r="N683" s="84"/>
      <c r="O683" s="84"/>
      <c r="P683" s="83"/>
      <c r="Q683" s="83"/>
      <c r="R683" s="83"/>
      <c r="S683" s="83"/>
      <c r="T683" s="83"/>
      <c r="U683" s="83"/>
      <c r="V683" s="83"/>
      <c r="W683" s="83"/>
      <c r="X683" s="83"/>
      <c r="Y683" s="83"/>
      <c r="Z683" s="83"/>
      <c r="AA683" s="83"/>
    </row>
    <row r="684" ht="15.75" customHeight="1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3"/>
      <c r="N684" s="84"/>
      <c r="O684" s="84"/>
      <c r="P684" s="83"/>
      <c r="Q684" s="83"/>
      <c r="R684" s="83"/>
      <c r="S684" s="83"/>
      <c r="T684" s="83"/>
      <c r="U684" s="83"/>
      <c r="V684" s="83"/>
      <c r="W684" s="83"/>
      <c r="X684" s="83"/>
      <c r="Y684" s="83"/>
      <c r="Z684" s="83"/>
      <c r="AA684" s="83"/>
    </row>
    <row r="685" ht="15.75" customHeight="1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3"/>
      <c r="N685" s="84"/>
      <c r="O685" s="84"/>
      <c r="P685" s="83"/>
      <c r="Q685" s="83"/>
      <c r="R685" s="83"/>
      <c r="S685" s="83"/>
      <c r="T685" s="83"/>
      <c r="U685" s="83"/>
      <c r="V685" s="83"/>
      <c r="W685" s="83"/>
      <c r="X685" s="83"/>
      <c r="Y685" s="83"/>
      <c r="Z685" s="83"/>
      <c r="AA685" s="83"/>
    </row>
    <row r="686" ht="15.75" customHeight="1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3"/>
      <c r="N686" s="84"/>
      <c r="O686" s="84"/>
      <c r="P686" s="83"/>
      <c r="Q686" s="83"/>
      <c r="R686" s="83"/>
      <c r="S686" s="83"/>
      <c r="T686" s="83"/>
      <c r="U686" s="83"/>
      <c r="V686" s="83"/>
      <c r="W686" s="83"/>
      <c r="X686" s="83"/>
      <c r="Y686" s="83"/>
      <c r="Z686" s="83"/>
      <c r="AA686" s="83"/>
    </row>
    <row r="687" ht="15.75" customHeight="1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3"/>
      <c r="N687" s="84"/>
      <c r="O687" s="84"/>
      <c r="P687" s="83"/>
      <c r="Q687" s="83"/>
      <c r="R687" s="83"/>
      <c r="S687" s="83"/>
      <c r="T687" s="83"/>
      <c r="U687" s="83"/>
      <c r="V687" s="83"/>
      <c r="W687" s="83"/>
      <c r="X687" s="83"/>
      <c r="Y687" s="83"/>
      <c r="Z687" s="83"/>
      <c r="AA687" s="83"/>
    </row>
    <row r="688" ht="15.75" customHeight="1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3"/>
      <c r="N688" s="84"/>
      <c r="O688" s="84"/>
      <c r="P688" s="83"/>
      <c r="Q688" s="83"/>
      <c r="R688" s="83"/>
      <c r="S688" s="83"/>
      <c r="T688" s="83"/>
      <c r="U688" s="83"/>
      <c r="V688" s="83"/>
      <c r="W688" s="83"/>
      <c r="X688" s="83"/>
      <c r="Y688" s="83"/>
      <c r="Z688" s="83"/>
      <c r="AA688" s="83"/>
    </row>
    <row r="689" ht="15.75" customHeight="1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3"/>
      <c r="N689" s="84"/>
      <c r="O689" s="84"/>
      <c r="P689" s="83"/>
      <c r="Q689" s="83"/>
      <c r="R689" s="83"/>
      <c r="S689" s="83"/>
      <c r="T689" s="83"/>
      <c r="U689" s="83"/>
      <c r="V689" s="83"/>
      <c r="W689" s="83"/>
      <c r="X689" s="83"/>
      <c r="Y689" s="83"/>
      <c r="Z689" s="83"/>
      <c r="AA689" s="83"/>
    </row>
    <row r="690" ht="15.75" customHeight="1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3"/>
      <c r="N690" s="84"/>
      <c r="O690" s="84"/>
      <c r="P690" s="83"/>
      <c r="Q690" s="83"/>
      <c r="R690" s="83"/>
      <c r="S690" s="83"/>
      <c r="T690" s="83"/>
      <c r="U690" s="83"/>
      <c r="V690" s="83"/>
      <c r="W690" s="83"/>
      <c r="X690" s="83"/>
      <c r="Y690" s="83"/>
      <c r="Z690" s="83"/>
      <c r="AA690" s="83"/>
    </row>
    <row r="691" ht="15.75" customHeight="1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3"/>
      <c r="N691" s="84"/>
      <c r="O691" s="84"/>
      <c r="P691" s="83"/>
      <c r="Q691" s="83"/>
      <c r="R691" s="83"/>
      <c r="S691" s="83"/>
      <c r="T691" s="83"/>
      <c r="U691" s="83"/>
      <c r="V691" s="83"/>
      <c r="W691" s="83"/>
      <c r="X691" s="83"/>
      <c r="Y691" s="83"/>
      <c r="Z691" s="83"/>
      <c r="AA691" s="83"/>
    </row>
    <row r="692" ht="15.75" customHeight="1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3"/>
      <c r="N692" s="84"/>
      <c r="O692" s="84"/>
      <c r="P692" s="83"/>
      <c r="Q692" s="83"/>
      <c r="R692" s="83"/>
      <c r="S692" s="83"/>
      <c r="T692" s="83"/>
      <c r="U692" s="83"/>
      <c r="V692" s="83"/>
      <c r="W692" s="83"/>
      <c r="X692" s="83"/>
      <c r="Y692" s="83"/>
      <c r="Z692" s="83"/>
      <c r="AA692" s="83"/>
    </row>
    <row r="693" ht="15.75" customHeight="1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3"/>
      <c r="N693" s="84"/>
      <c r="O693" s="84"/>
      <c r="P693" s="83"/>
      <c r="Q693" s="83"/>
      <c r="R693" s="83"/>
      <c r="S693" s="83"/>
      <c r="T693" s="83"/>
      <c r="U693" s="83"/>
      <c r="V693" s="83"/>
      <c r="W693" s="83"/>
      <c r="X693" s="83"/>
      <c r="Y693" s="83"/>
      <c r="Z693" s="83"/>
      <c r="AA693" s="83"/>
    </row>
    <row r="694" ht="15.75" customHeight="1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3"/>
      <c r="N694" s="84"/>
      <c r="O694" s="84"/>
      <c r="P694" s="83"/>
      <c r="Q694" s="83"/>
      <c r="R694" s="83"/>
      <c r="S694" s="83"/>
      <c r="T694" s="83"/>
      <c r="U694" s="83"/>
      <c r="V694" s="83"/>
      <c r="W694" s="83"/>
      <c r="X694" s="83"/>
      <c r="Y694" s="83"/>
      <c r="Z694" s="83"/>
      <c r="AA694" s="83"/>
    </row>
    <row r="695" ht="15.75" customHeight="1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3"/>
      <c r="N695" s="84"/>
      <c r="O695" s="84"/>
      <c r="P695" s="83"/>
      <c r="Q695" s="83"/>
      <c r="R695" s="83"/>
      <c r="S695" s="83"/>
      <c r="T695" s="83"/>
      <c r="U695" s="83"/>
      <c r="V695" s="83"/>
      <c r="W695" s="83"/>
      <c r="X695" s="83"/>
      <c r="Y695" s="83"/>
      <c r="Z695" s="83"/>
      <c r="AA695" s="83"/>
    </row>
    <row r="696" ht="15.75" customHeight="1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3"/>
      <c r="N696" s="84"/>
      <c r="O696" s="84"/>
      <c r="P696" s="83"/>
      <c r="Q696" s="83"/>
      <c r="R696" s="83"/>
      <c r="S696" s="83"/>
      <c r="T696" s="83"/>
      <c r="U696" s="83"/>
      <c r="V696" s="83"/>
      <c r="W696" s="83"/>
      <c r="X696" s="83"/>
      <c r="Y696" s="83"/>
      <c r="Z696" s="83"/>
      <c r="AA696" s="83"/>
    </row>
    <row r="697" ht="15.75" customHeight="1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3"/>
      <c r="N697" s="84"/>
      <c r="O697" s="84"/>
      <c r="P697" s="83"/>
      <c r="Q697" s="83"/>
      <c r="R697" s="83"/>
      <c r="S697" s="83"/>
      <c r="T697" s="83"/>
      <c r="U697" s="83"/>
      <c r="V697" s="83"/>
      <c r="W697" s="83"/>
      <c r="X697" s="83"/>
      <c r="Y697" s="83"/>
      <c r="Z697" s="83"/>
      <c r="AA697" s="83"/>
    </row>
    <row r="698" ht="15.75" customHeight="1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3"/>
      <c r="N698" s="84"/>
      <c r="O698" s="84"/>
      <c r="P698" s="83"/>
      <c r="Q698" s="83"/>
      <c r="R698" s="83"/>
      <c r="S698" s="83"/>
      <c r="T698" s="83"/>
      <c r="U698" s="83"/>
      <c r="V698" s="83"/>
      <c r="W698" s="83"/>
      <c r="X698" s="83"/>
      <c r="Y698" s="83"/>
      <c r="Z698" s="83"/>
      <c r="AA698" s="83"/>
    </row>
    <row r="699" ht="15.75" customHeight="1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3"/>
      <c r="N699" s="84"/>
      <c r="O699" s="84"/>
      <c r="P699" s="83"/>
      <c r="Q699" s="83"/>
      <c r="R699" s="83"/>
      <c r="S699" s="83"/>
      <c r="T699" s="83"/>
      <c r="U699" s="83"/>
      <c r="V699" s="83"/>
      <c r="W699" s="83"/>
      <c r="X699" s="83"/>
      <c r="Y699" s="83"/>
      <c r="Z699" s="83"/>
      <c r="AA699" s="83"/>
    </row>
    <row r="700" ht="15.75" customHeight="1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3"/>
      <c r="N700" s="84"/>
      <c r="O700" s="84"/>
      <c r="P700" s="83"/>
      <c r="Q700" s="83"/>
      <c r="R700" s="83"/>
      <c r="S700" s="83"/>
      <c r="T700" s="83"/>
      <c r="U700" s="83"/>
      <c r="V700" s="83"/>
      <c r="W700" s="83"/>
      <c r="X700" s="83"/>
      <c r="Y700" s="83"/>
      <c r="Z700" s="83"/>
      <c r="AA700" s="83"/>
    </row>
    <row r="701" ht="15.75" customHeight="1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3"/>
      <c r="N701" s="84"/>
      <c r="O701" s="84"/>
      <c r="P701" s="83"/>
      <c r="Q701" s="83"/>
      <c r="R701" s="83"/>
      <c r="S701" s="83"/>
      <c r="T701" s="83"/>
      <c r="U701" s="83"/>
      <c r="V701" s="83"/>
      <c r="W701" s="83"/>
      <c r="X701" s="83"/>
      <c r="Y701" s="83"/>
      <c r="Z701" s="83"/>
      <c r="AA701" s="83"/>
    </row>
    <row r="702" ht="15.75" customHeight="1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3"/>
      <c r="N702" s="84"/>
      <c r="O702" s="84"/>
      <c r="P702" s="83"/>
      <c r="Q702" s="83"/>
      <c r="R702" s="83"/>
      <c r="S702" s="83"/>
      <c r="T702" s="83"/>
      <c r="U702" s="83"/>
      <c r="V702" s="83"/>
      <c r="W702" s="83"/>
      <c r="X702" s="83"/>
      <c r="Y702" s="83"/>
      <c r="Z702" s="83"/>
      <c r="AA702" s="83"/>
    </row>
    <row r="703" ht="15.75" customHeight="1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3"/>
      <c r="N703" s="84"/>
      <c r="O703" s="84"/>
      <c r="P703" s="83"/>
      <c r="Q703" s="83"/>
      <c r="R703" s="83"/>
      <c r="S703" s="83"/>
      <c r="T703" s="83"/>
      <c r="U703" s="83"/>
      <c r="V703" s="83"/>
      <c r="W703" s="83"/>
      <c r="X703" s="83"/>
      <c r="Y703" s="83"/>
      <c r="Z703" s="83"/>
      <c r="AA703" s="83"/>
    </row>
    <row r="704" ht="15.75" customHeight="1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3"/>
      <c r="N704" s="84"/>
      <c r="O704" s="84"/>
      <c r="P704" s="83"/>
      <c r="Q704" s="83"/>
      <c r="R704" s="83"/>
      <c r="S704" s="83"/>
      <c r="T704" s="83"/>
      <c r="U704" s="83"/>
      <c r="V704" s="83"/>
      <c r="W704" s="83"/>
      <c r="X704" s="83"/>
      <c r="Y704" s="83"/>
      <c r="Z704" s="83"/>
      <c r="AA704" s="83"/>
    </row>
    <row r="705" ht="15.75" customHeight="1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3"/>
      <c r="N705" s="84"/>
      <c r="O705" s="84"/>
      <c r="P705" s="83"/>
      <c r="Q705" s="83"/>
      <c r="R705" s="83"/>
      <c r="S705" s="83"/>
      <c r="T705" s="83"/>
      <c r="U705" s="83"/>
      <c r="V705" s="83"/>
      <c r="W705" s="83"/>
      <c r="X705" s="83"/>
      <c r="Y705" s="83"/>
      <c r="Z705" s="83"/>
      <c r="AA705" s="83"/>
    </row>
    <row r="706" ht="15.75" customHeight="1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3"/>
      <c r="N706" s="84"/>
      <c r="O706" s="84"/>
      <c r="P706" s="83"/>
      <c r="Q706" s="83"/>
      <c r="R706" s="83"/>
      <c r="S706" s="83"/>
      <c r="T706" s="83"/>
      <c r="U706" s="83"/>
      <c r="V706" s="83"/>
      <c r="W706" s="83"/>
      <c r="X706" s="83"/>
      <c r="Y706" s="83"/>
      <c r="Z706" s="83"/>
      <c r="AA706" s="83"/>
    </row>
    <row r="707" ht="15.75" customHeight="1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3"/>
      <c r="N707" s="84"/>
      <c r="O707" s="84"/>
      <c r="P707" s="83"/>
      <c r="Q707" s="83"/>
      <c r="R707" s="83"/>
      <c r="S707" s="83"/>
      <c r="T707" s="83"/>
      <c r="U707" s="83"/>
      <c r="V707" s="83"/>
      <c r="W707" s="83"/>
      <c r="X707" s="83"/>
      <c r="Y707" s="83"/>
      <c r="Z707" s="83"/>
      <c r="AA707" s="83"/>
    </row>
    <row r="708" ht="15.75" customHeight="1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3"/>
      <c r="N708" s="84"/>
      <c r="O708" s="84"/>
      <c r="P708" s="83"/>
      <c r="Q708" s="83"/>
      <c r="R708" s="83"/>
      <c r="S708" s="83"/>
      <c r="T708" s="83"/>
      <c r="U708" s="83"/>
      <c r="V708" s="83"/>
      <c r="W708" s="83"/>
      <c r="X708" s="83"/>
      <c r="Y708" s="83"/>
      <c r="Z708" s="83"/>
      <c r="AA708" s="83"/>
    </row>
    <row r="709" ht="15.75" customHeight="1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3"/>
      <c r="N709" s="84"/>
      <c r="O709" s="84"/>
      <c r="P709" s="83"/>
      <c r="Q709" s="83"/>
      <c r="R709" s="83"/>
      <c r="S709" s="83"/>
      <c r="T709" s="83"/>
      <c r="U709" s="83"/>
      <c r="V709" s="83"/>
      <c r="W709" s="83"/>
      <c r="X709" s="83"/>
      <c r="Y709" s="83"/>
      <c r="Z709" s="83"/>
      <c r="AA709" s="83"/>
    </row>
    <row r="710" ht="15.75" customHeight="1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3"/>
      <c r="N710" s="84"/>
      <c r="O710" s="84"/>
      <c r="P710" s="83"/>
      <c r="Q710" s="83"/>
      <c r="R710" s="83"/>
      <c r="S710" s="83"/>
      <c r="T710" s="83"/>
      <c r="U710" s="83"/>
      <c r="V710" s="83"/>
      <c r="W710" s="83"/>
      <c r="X710" s="83"/>
      <c r="Y710" s="83"/>
      <c r="Z710" s="83"/>
      <c r="AA710" s="83"/>
    </row>
    <row r="711" ht="15.75" customHeight="1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3"/>
      <c r="N711" s="84"/>
      <c r="O711" s="84"/>
      <c r="P711" s="83"/>
      <c r="Q711" s="83"/>
      <c r="R711" s="83"/>
      <c r="S711" s="83"/>
      <c r="T711" s="83"/>
      <c r="U711" s="83"/>
      <c r="V711" s="83"/>
      <c r="W711" s="83"/>
      <c r="X711" s="83"/>
      <c r="Y711" s="83"/>
      <c r="Z711" s="83"/>
      <c r="AA711" s="83"/>
    </row>
    <row r="712" ht="15.75" customHeight="1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3"/>
      <c r="N712" s="84"/>
      <c r="O712" s="84"/>
      <c r="P712" s="83"/>
      <c r="Q712" s="83"/>
      <c r="R712" s="83"/>
      <c r="S712" s="83"/>
      <c r="T712" s="83"/>
      <c r="U712" s="83"/>
      <c r="V712" s="83"/>
      <c r="W712" s="83"/>
      <c r="X712" s="83"/>
      <c r="Y712" s="83"/>
      <c r="Z712" s="83"/>
      <c r="AA712" s="83"/>
    </row>
    <row r="713" ht="15.75" customHeight="1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3"/>
      <c r="N713" s="84"/>
      <c r="O713" s="84"/>
      <c r="P713" s="83"/>
      <c r="Q713" s="83"/>
      <c r="R713" s="83"/>
      <c r="S713" s="83"/>
      <c r="T713" s="83"/>
      <c r="U713" s="83"/>
      <c r="V713" s="83"/>
      <c r="W713" s="83"/>
      <c r="X713" s="83"/>
      <c r="Y713" s="83"/>
      <c r="Z713" s="83"/>
      <c r="AA713" s="83"/>
    </row>
    <row r="714" ht="15.75" customHeight="1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3"/>
      <c r="N714" s="84"/>
      <c r="O714" s="84"/>
      <c r="P714" s="83"/>
      <c r="Q714" s="83"/>
      <c r="R714" s="83"/>
      <c r="S714" s="83"/>
      <c r="T714" s="83"/>
      <c r="U714" s="83"/>
      <c r="V714" s="83"/>
      <c r="W714" s="83"/>
      <c r="X714" s="83"/>
      <c r="Y714" s="83"/>
      <c r="Z714" s="83"/>
      <c r="AA714" s="83"/>
    </row>
    <row r="715" ht="15.75" customHeight="1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3"/>
      <c r="N715" s="84"/>
      <c r="O715" s="84"/>
      <c r="P715" s="83"/>
      <c r="Q715" s="83"/>
      <c r="R715" s="83"/>
      <c r="S715" s="83"/>
      <c r="T715" s="83"/>
      <c r="U715" s="83"/>
      <c r="V715" s="83"/>
      <c r="W715" s="83"/>
      <c r="X715" s="83"/>
      <c r="Y715" s="83"/>
      <c r="Z715" s="83"/>
      <c r="AA715" s="83"/>
    </row>
    <row r="716" ht="15.75" customHeight="1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3"/>
      <c r="N716" s="84"/>
      <c r="O716" s="84"/>
      <c r="P716" s="83"/>
      <c r="Q716" s="83"/>
      <c r="R716" s="83"/>
      <c r="S716" s="83"/>
      <c r="T716" s="83"/>
      <c r="U716" s="83"/>
      <c r="V716" s="83"/>
      <c r="W716" s="83"/>
      <c r="X716" s="83"/>
      <c r="Y716" s="83"/>
      <c r="Z716" s="83"/>
      <c r="AA716" s="83"/>
    </row>
    <row r="717" ht="15.75" customHeight="1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3"/>
      <c r="N717" s="84"/>
      <c r="O717" s="84"/>
      <c r="P717" s="83"/>
      <c r="Q717" s="83"/>
      <c r="R717" s="83"/>
      <c r="S717" s="83"/>
      <c r="T717" s="83"/>
      <c r="U717" s="83"/>
      <c r="V717" s="83"/>
      <c r="W717" s="83"/>
      <c r="X717" s="83"/>
      <c r="Y717" s="83"/>
      <c r="Z717" s="83"/>
      <c r="AA717" s="83"/>
    </row>
    <row r="718" ht="15.75" customHeight="1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3"/>
      <c r="N718" s="84"/>
      <c r="O718" s="84"/>
      <c r="P718" s="83"/>
      <c r="Q718" s="83"/>
      <c r="R718" s="83"/>
      <c r="S718" s="83"/>
      <c r="T718" s="83"/>
      <c r="U718" s="83"/>
      <c r="V718" s="83"/>
      <c r="W718" s="83"/>
      <c r="X718" s="83"/>
      <c r="Y718" s="83"/>
      <c r="Z718" s="83"/>
      <c r="AA718" s="83"/>
    </row>
    <row r="719" ht="15.75" customHeight="1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3"/>
      <c r="N719" s="84"/>
      <c r="O719" s="84"/>
      <c r="P719" s="83"/>
      <c r="Q719" s="83"/>
      <c r="R719" s="83"/>
      <c r="S719" s="83"/>
      <c r="T719" s="83"/>
      <c r="U719" s="83"/>
      <c r="V719" s="83"/>
      <c r="W719" s="83"/>
      <c r="X719" s="83"/>
      <c r="Y719" s="83"/>
      <c r="Z719" s="83"/>
      <c r="AA719" s="83"/>
    </row>
    <row r="720" ht="15.75" customHeight="1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3"/>
      <c r="N720" s="84"/>
      <c r="O720" s="84"/>
      <c r="P720" s="83"/>
      <c r="Q720" s="83"/>
      <c r="R720" s="83"/>
      <c r="S720" s="83"/>
      <c r="T720" s="83"/>
      <c r="U720" s="83"/>
      <c r="V720" s="83"/>
      <c r="W720" s="83"/>
      <c r="X720" s="83"/>
      <c r="Y720" s="83"/>
      <c r="Z720" s="83"/>
      <c r="AA720" s="83"/>
    </row>
    <row r="721" ht="15.75" customHeight="1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3"/>
      <c r="N721" s="84"/>
      <c r="O721" s="84"/>
      <c r="P721" s="83"/>
      <c r="Q721" s="83"/>
      <c r="R721" s="83"/>
      <c r="S721" s="83"/>
      <c r="T721" s="83"/>
      <c r="U721" s="83"/>
      <c r="V721" s="83"/>
      <c r="W721" s="83"/>
      <c r="X721" s="83"/>
      <c r="Y721" s="83"/>
      <c r="Z721" s="83"/>
      <c r="AA721" s="83"/>
    </row>
    <row r="722" ht="15.75" customHeight="1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3"/>
      <c r="N722" s="84"/>
      <c r="O722" s="84"/>
      <c r="P722" s="83"/>
      <c r="Q722" s="83"/>
      <c r="R722" s="83"/>
      <c r="S722" s="83"/>
      <c r="T722" s="83"/>
      <c r="U722" s="83"/>
      <c r="V722" s="83"/>
      <c r="W722" s="83"/>
      <c r="X722" s="83"/>
      <c r="Y722" s="83"/>
      <c r="Z722" s="83"/>
      <c r="AA722" s="83"/>
    </row>
    <row r="723" ht="15.75" customHeight="1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3"/>
      <c r="N723" s="84"/>
      <c r="O723" s="84"/>
      <c r="P723" s="83"/>
      <c r="Q723" s="83"/>
      <c r="R723" s="83"/>
      <c r="S723" s="83"/>
      <c r="T723" s="83"/>
      <c r="U723" s="83"/>
      <c r="V723" s="83"/>
      <c r="W723" s="83"/>
      <c r="X723" s="83"/>
      <c r="Y723" s="83"/>
      <c r="Z723" s="83"/>
      <c r="AA723" s="83"/>
    </row>
    <row r="724" ht="15.75" customHeight="1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3"/>
      <c r="N724" s="84"/>
      <c r="O724" s="84"/>
      <c r="P724" s="83"/>
      <c r="Q724" s="83"/>
      <c r="R724" s="83"/>
      <c r="S724" s="83"/>
      <c r="T724" s="83"/>
      <c r="U724" s="83"/>
      <c r="V724" s="83"/>
      <c r="W724" s="83"/>
      <c r="X724" s="83"/>
      <c r="Y724" s="83"/>
      <c r="Z724" s="83"/>
      <c r="AA724" s="83"/>
    </row>
    <row r="725" ht="15.75" customHeight="1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3"/>
      <c r="N725" s="84"/>
      <c r="O725" s="84"/>
      <c r="P725" s="83"/>
      <c r="Q725" s="83"/>
      <c r="R725" s="83"/>
      <c r="S725" s="83"/>
      <c r="T725" s="83"/>
      <c r="U725" s="83"/>
      <c r="V725" s="83"/>
      <c r="W725" s="83"/>
      <c r="X725" s="83"/>
      <c r="Y725" s="83"/>
      <c r="Z725" s="83"/>
      <c r="AA725" s="83"/>
    </row>
    <row r="726" ht="15.75" customHeight="1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3"/>
      <c r="N726" s="84"/>
      <c r="O726" s="84"/>
      <c r="P726" s="83"/>
      <c r="Q726" s="83"/>
      <c r="R726" s="83"/>
      <c r="S726" s="83"/>
      <c r="T726" s="83"/>
      <c r="U726" s="83"/>
      <c r="V726" s="83"/>
      <c r="W726" s="83"/>
      <c r="X726" s="83"/>
      <c r="Y726" s="83"/>
      <c r="Z726" s="83"/>
      <c r="AA726" s="83"/>
    </row>
    <row r="727" ht="15.75" customHeight="1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3"/>
      <c r="N727" s="84"/>
      <c r="O727" s="84"/>
      <c r="P727" s="83"/>
      <c r="Q727" s="83"/>
      <c r="R727" s="83"/>
      <c r="S727" s="83"/>
      <c r="T727" s="83"/>
      <c r="U727" s="83"/>
      <c r="V727" s="83"/>
      <c r="W727" s="83"/>
      <c r="X727" s="83"/>
      <c r="Y727" s="83"/>
      <c r="Z727" s="83"/>
      <c r="AA727" s="83"/>
    </row>
    <row r="728" ht="15.75" customHeight="1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3"/>
      <c r="N728" s="84"/>
      <c r="O728" s="84"/>
      <c r="P728" s="83"/>
      <c r="Q728" s="83"/>
      <c r="R728" s="83"/>
      <c r="S728" s="83"/>
      <c r="T728" s="83"/>
      <c r="U728" s="83"/>
      <c r="V728" s="83"/>
      <c r="W728" s="83"/>
      <c r="X728" s="83"/>
      <c r="Y728" s="83"/>
      <c r="Z728" s="83"/>
      <c r="AA728" s="83"/>
    </row>
    <row r="729" ht="15.75" customHeight="1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3"/>
      <c r="N729" s="84"/>
      <c r="O729" s="84"/>
      <c r="P729" s="83"/>
      <c r="Q729" s="83"/>
      <c r="R729" s="83"/>
      <c r="S729" s="83"/>
      <c r="T729" s="83"/>
      <c r="U729" s="83"/>
      <c r="V729" s="83"/>
      <c r="W729" s="83"/>
      <c r="X729" s="83"/>
      <c r="Y729" s="83"/>
      <c r="Z729" s="83"/>
      <c r="AA729" s="83"/>
    </row>
    <row r="730" ht="15.75" customHeight="1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3"/>
      <c r="N730" s="84"/>
      <c r="O730" s="84"/>
      <c r="P730" s="83"/>
      <c r="Q730" s="83"/>
      <c r="R730" s="83"/>
      <c r="S730" s="83"/>
      <c r="T730" s="83"/>
      <c r="U730" s="83"/>
      <c r="V730" s="83"/>
      <c r="W730" s="83"/>
      <c r="X730" s="83"/>
      <c r="Y730" s="83"/>
      <c r="Z730" s="83"/>
      <c r="AA730" s="83"/>
    </row>
    <row r="731" ht="15.75" customHeight="1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3"/>
      <c r="N731" s="84"/>
      <c r="O731" s="84"/>
      <c r="P731" s="83"/>
      <c r="Q731" s="83"/>
      <c r="R731" s="83"/>
      <c r="S731" s="83"/>
      <c r="T731" s="83"/>
      <c r="U731" s="83"/>
      <c r="V731" s="83"/>
      <c r="W731" s="83"/>
      <c r="X731" s="83"/>
      <c r="Y731" s="83"/>
      <c r="Z731" s="83"/>
      <c r="AA731" s="83"/>
    </row>
    <row r="732" ht="15.75" customHeight="1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3"/>
      <c r="N732" s="84"/>
      <c r="O732" s="84"/>
      <c r="P732" s="83"/>
      <c r="Q732" s="83"/>
      <c r="R732" s="83"/>
      <c r="S732" s="83"/>
      <c r="T732" s="83"/>
      <c r="U732" s="83"/>
      <c r="V732" s="83"/>
      <c r="W732" s="83"/>
      <c r="X732" s="83"/>
      <c r="Y732" s="83"/>
      <c r="Z732" s="83"/>
      <c r="AA732" s="83"/>
    </row>
    <row r="733" ht="15.75" customHeight="1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3"/>
      <c r="N733" s="84"/>
      <c r="O733" s="84"/>
      <c r="P733" s="83"/>
      <c r="Q733" s="83"/>
      <c r="R733" s="83"/>
      <c r="S733" s="83"/>
      <c r="T733" s="83"/>
      <c r="U733" s="83"/>
      <c r="V733" s="83"/>
      <c r="W733" s="83"/>
      <c r="X733" s="83"/>
      <c r="Y733" s="83"/>
      <c r="Z733" s="83"/>
      <c r="AA733" s="83"/>
    </row>
    <row r="734" ht="15.75" customHeight="1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3"/>
      <c r="N734" s="84"/>
      <c r="O734" s="84"/>
      <c r="P734" s="83"/>
      <c r="Q734" s="83"/>
      <c r="R734" s="83"/>
      <c r="S734" s="83"/>
      <c r="T734" s="83"/>
      <c r="U734" s="83"/>
      <c r="V734" s="83"/>
      <c r="W734" s="83"/>
      <c r="X734" s="83"/>
      <c r="Y734" s="83"/>
      <c r="Z734" s="83"/>
      <c r="AA734" s="83"/>
    </row>
    <row r="735" ht="15.75" customHeight="1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3"/>
      <c r="N735" s="84"/>
      <c r="O735" s="84"/>
      <c r="P735" s="83"/>
      <c r="Q735" s="83"/>
      <c r="R735" s="83"/>
      <c r="S735" s="83"/>
      <c r="T735" s="83"/>
      <c r="U735" s="83"/>
      <c r="V735" s="83"/>
      <c r="W735" s="83"/>
      <c r="X735" s="83"/>
      <c r="Y735" s="83"/>
      <c r="Z735" s="83"/>
      <c r="AA735" s="83"/>
    </row>
    <row r="736" ht="15.75" customHeight="1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3"/>
      <c r="N736" s="84"/>
      <c r="O736" s="84"/>
      <c r="P736" s="83"/>
      <c r="Q736" s="83"/>
      <c r="R736" s="83"/>
      <c r="S736" s="83"/>
      <c r="T736" s="83"/>
      <c r="U736" s="83"/>
      <c r="V736" s="83"/>
      <c r="W736" s="83"/>
      <c r="X736" s="83"/>
      <c r="Y736" s="83"/>
      <c r="Z736" s="83"/>
      <c r="AA736" s="83"/>
    </row>
    <row r="737" ht="15.75" customHeight="1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3"/>
      <c r="N737" s="84"/>
      <c r="O737" s="84"/>
      <c r="P737" s="83"/>
      <c r="Q737" s="83"/>
      <c r="R737" s="83"/>
      <c r="S737" s="83"/>
      <c r="T737" s="83"/>
      <c r="U737" s="83"/>
      <c r="V737" s="83"/>
      <c r="W737" s="83"/>
      <c r="X737" s="83"/>
      <c r="Y737" s="83"/>
      <c r="Z737" s="83"/>
      <c r="AA737" s="83"/>
    </row>
    <row r="738" ht="15.75" customHeight="1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3"/>
      <c r="N738" s="84"/>
      <c r="O738" s="84"/>
      <c r="P738" s="83"/>
      <c r="Q738" s="83"/>
      <c r="R738" s="83"/>
      <c r="S738" s="83"/>
      <c r="T738" s="83"/>
      <c r="U738" s="83"/>
      <c r="V738" s="83"/>
      <c r="W738" s="83"/>
      <c r="X738" s="83"/>
      <c r="Y738" s="83"/>
      <c r="Z738" s="83"/>
      <c r="AA738" s="83"/>
    </row>
    <row r="739" ht="15.75" customHeight="1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3"/>
      <c r="N739" s="84"/>
      <c r="O739" s="84"/>
      <c r="P739" s="83"/>
      <c r="Q739" s="83"/>
      <c r="R739" s="83"/>
      <c r="S739" s="83"/>
      <c r="T739" s="83"/>
      <c r="U739" s="83"/>
      <c r="V739" s="83"/>
      <c r="W739" s="83"/>
      <c r="X739" s="83"/>
      <c r="Y739" s="83"/>
      <c r="Z739" s="83"/>
      <c r="AA739" s="83"/>
    </row>
    <row r="740" ht="15.75" customHeight="1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3"/>
      <c r="N740" s="84"/>
      <c r="O740" s="84"/>
      <c r="P740" s="83"/>
      <c r="Q740" s="83"/>
      <c r="R740" s="83"/>
      <c r="S740" s="83"/>
      <c r="T740" s="83"/>
      <c r="U740" s="83"/>
      <c r="V740" s="83"/>
      <c r="W740" s="83"/>
      <c r="X740" s="83"/>
      <c r="Y740" s="83"/>
      <c r="Z740" s="83"/>
      <c r="AA740" s="83"/>
    </row>
    <row r="741" ht="15.75" customHeight="1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3"/>
      <c r="N741" s="84"/>
      <c r="O741" s="84"/>
      <c r="P741" s="83"/>
      <c r="Q741" s="83"/>
      <c r="R741" s="83"/>
      <c r="S741" s="83"/>
      <c r="T741" s="83"/>
      <c r="U741" s="83"/>
      <c r="V741" s="83"/>
      <c r="W741" s="83"/>
      <c r="X741" s="83"/>
      <c r="Y741" s="83"/>
      <c r="Z741" s="83"/>
      <c r="AA741" s="83"/>
    </row>
    <row r="742" ht="15.75" customHeight="1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3"/>
      <c r="N742" s="84"/>
      <c r="O742" s="84"/>
      <c r="P742" s="83"/>
      <c r="Q742" s="83"/>
      <c r="R742" s="83"/>
      <c r="S742" s="83"/>
      <c r="T742" s="83"/>
      <c r="U742" s="83"/>
      <c r="V742" s="83"/>
      <c r="W742" s="83"/>
      <c r="X742" s="83"/>
      <c r="Y742" s="83"/>
      <c r="Z742" s="83"/>
      <c r="AA742" s="83"/>
    </row>
    <row r="743" ht="15.75" customHeight="1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3"/>
      <c r="N743" s="84"/>
      <c r="O743" s="84"/>
      <c r="P743" s="83"/>
      <c r="Q743" s="83"/>
      <c r="R743" s="83"/>
      <c r="S743" s="83"/>
      <c r="T743" s="83"/>
      <c r="U743" s="83"/>
      <c r="V743" s="83"/>
      <c r="W743" s="83"/>
      <c r="X743" s="83"/>
      <c r="Y743" s="83"/>
      <c r="Z743" s="83"/>
      <c r="AA743" s="83"/>
    </row>
    <row r="744" ht="15.75" customHeight="1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3"/>
      <c r="N744" s="84"/>
      <c r="O744" s="84"/>
      <c r="P744" s="83"/>
      <c r="Q744" s="83"/>
      <c r="R744" s="83"/>
      <c r="S744" s="83"/>
      <c r="T744" s="83"/>
      <c r="U744" s="83"/>
      <c r="V744" s="83"/>
      <c r="W744" s="83"/>
      <c r="X744" s="83"/>
      <c r="Y744" s="83"/>
      <c r="Z744" s="83"/>
      <c r="AA744" s="83"/>
    </row>
    <row r="745" ht="15.75" customHeight="1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3"/>
      <c r="N745" s="84"/>
      <c r="O745" s="84"/>
      <c r="P745" s="83"/>
      <c r="Q745" s="83"/>
      <c r="R745" s="83"/>
      <c r="S745" s="83"/>
      <c r="T745" s="83"/>
      <c r="U745" s="83"/>
      <c r="V745" s="83"/>
      <c r="W745" s="83"/>
      <c r="X745" s="83"/>
      <c r="Y745" s="83"/>
      <c r="Z745" s="83"/>
      <c r="AA745" s="83"/>
    </row>
    <row r="746" ht="15.75" customHeight="1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3"/>
      <c r="N746" s="84"/>
      <c r="O746" s="84"/>
      <c r="P746" s="83"/>
      <c r="Q746" s="83"/>
      <c r="R746" s="83"/>
      <c r="S746" s="83"/>
      <c r="T746" s="83"/>
      <c r="U746" s="83"/>
      <c r="V746" s="83"/>
      <c r="W746" s="83"/>
      <c r="X746" s="83"/>
      <c r="Y746" s="83"/>
      <c r="Z746" s="83"/>
      <c r="AA746" s="83"/>
    </row>
    <row r="747" ht="15.75" customHeight="1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3"/>
      <c r="N747" s="84"/>
      <c r="O747" s="84"/>
      <c r="P747" s="83"/>
      <c r="Q747" s="83"/>
      <c r="R747" s="83"/>
      <c r="S747" s="83"/>
      <c r="T747" s="83"/>
      <c r="U747" s="83"/>
      <c r="V747" s="83"/>
      <c r="W747" s="83"/>
      <c r="X747" s="83"/>
      <c r="Y747" s="83"/>
      <c r="Z747" s="83"/>
      <c r="AA747" s="83"/>
    </row>
    <row r="748" ht="15.75" customHeight="1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3"/>
      <c r="N748" s="84"/>
      <c r="O748" s="84"/>
      <c r="P748" s="83"/>
      <c r="Q748" s="83"/>
      <c r="R748" s="83"/>
      <c r="S748" s="83"/>
      <c r="T748" s="83"/>
      <c r="U748" s="83"/>
      <c r="V748" s="83"/>
      <c r="W748" s="83"/>
      <c r="X748" s="83"/>
      <c r="Y748" s="83"/>
      <c r="Z748" s="83"/>
      <c r="AA748" s="83"/>
    </row>
    <row r="749" ht="15.75" customHeight="1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3"/>
      <c r="N749" s="84"/>
      <c r="O749" s="84"/>
      <c r="P749" s="83"/>
      <c r="Q749" s="83"/>
      <c r="R749" s="83"/>
      <c r="S749" s="83"/>
      <c r="T749" s="83"/>
      <c r="U749" s="83"/>
      <c r="V749" s="83"/>
      <c r="W749" s="83"/>
      <c r="X749" s="83"/>
      <c r="Y749" s="83"/>
      <c r="Z749" s="83"/>
      <c r="AA749" s="83"/>
    </row>
    <row r="750" ht="15.75" customHeight="1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3"/>
      <c r="N750" s="84"/>
      <c r="O750" s="84"/>
      <c r="P750" s="83"/>
      <c r="Q750" s="83"/>
      <c r="R750" s="83"/>
      <c r="S750" s="83"/>
      <c r="T750" s="83"/>
      <c r="U750" s="83"/>
      <c r="V750" s="83"/>
      <c r="W750" s="83"/>
      <c r="X750" s="83"/>
      <c r="Y750" s="83"/>
      <c r="Z750" s="83"/>
      <c r="AA750" s="83"/>
    </row>
    <row r="751" ht="15.75" customHeight="1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3"/>
      <c r="N751" s="84"/>
      <c r="O751" s="84"/>
      <c r="P751" s="83"/>
      <c r="Q751" s="83"/>
      <c r="R751" s="83"/>
      <c r="S751" s="83"/>
      <c r="T751" s="83"/>
      <c r="U751" s="83"/>
      <c r="V751" s="83"/>
      <c r="W751" s="83"/>
      <c r="X751" s="83"/>
      <c r="Y751" s="83"/>
      <c r="Z751" s="83"/>
      <c r="AA751" s="83"/>
    </row>
    <row r="752" ht="15.75" customHeight="1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3"/>
      <c r="N752" s="84"/>
      <c r="O752" s="84"/>
      <c r="P752" s="83"/>
      <c r="Q752" s="83"/>
      <c r="R752" s="83"/>
      <c r="S752" s="83"/>
      <c r="T752" s="83"/>
      <c r="U752" s="83"/>
      <c r="V752" s="83"/>
      <c r="W752" s="83"/>
      <c r="X752" s="83"/>
      <c r="Y752" s="83"/>
      <c r="Z752" s="83"/>
      <c r="AA752" s="83"/>
    </row>
    <row r="753" ht="15.75" customHeight="1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3"/>
      <c r="N753" s="84"/>
      <c r="O753" s="84"/>
      <c r="P753" s="83"/>
      <c r="Q753" s="83"/>
      <c r="R753" s="83"/>
      <c r="S753" s="83"/>
      <c r="T753" s="83"/>
      <c r="U753" s="83"/>
      <c r="V753" s="83"/>
      <c r="W753" s="83"/>
      <c r="X753" s="83"/>
      <c r="Y753" s="83"/>
      <c r="Z753" s="83"/>
      <c r="AA753" s="83"/>
    </row>
    <row r="754" ht="15.75" customHeight="1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3"/>
      <c r="N754" s="84"/>
      <c r="O754" s="84"/>
      <c r="P754" s="83"/>
      <c r="Q754" s="83"/>
      <c r="R754" s="83"/>
      <c r="S754" s="83"/>
      <c r="T754" s="83"/>
      <c r="U754" s="83"/>
      <c r="V754" s="83"/>
      <c r="W754" s="83"/>
      <c r="X754" s="83"/>
      <c r="Y754" s="83"/>
      <c r="Z754" s="83"/>
      <c r="AA754" s="83"/>
    </row>
    <row r="755" ht="15.75" customHeight="1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3"/>
      <c r="N755" s="84"/>
      <c r="O755" s="84"/>
      <c r="P755" s="83"/>
      <c r="Q755" s="83"/>
      <c r="R755" s="83"/>
      <c r="S755" s="83"/>
      <c r="T755" s="83"/>
      <c r="U755" s="83"/>
      <c r="V755" s="83"/>
      <c r="W755" s="83"/>
      <c r="X755" s="83"/>
      <c r="Y755" s="83"/>
      <c r="Z755" s="83"/>
      <c r="AA755" s="83"/>
    </row>
    <row r="756" ht="15.75" customHeight="1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3"/>
      <c r="N756" s="84"/>
      <c r="O756" s="84"/>
      <c r="P756" s="83"/>
      <c r="Q756" s="83"/>
      <c r="R756" s="83"/>
      <c r="S756" s="83"/>
      <c r="T756" s="83"/>
      <c r="U756" s="83"/>
      <c r="V756" s="83"/>
      <c r="W756" s="83"/>
      <c r="X756" s="83"/>
      <c r="Y756" s="83"/>
      <c r="Z756" s="83"/>
      <c r="AA756" s="83"/>
    </row>
    <row r="757" ht="15.75" customHeight="1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3"/>
      <c r="N757" s="84"/>
      <c r="O757" s="84"/>
      <c r="P757" s="83"/>
      <c r="Q757" s="83"/>
      <c r="R757" s="83"/>
      <c r="S757" s="83"/>
      <c r="T757" s="83"/>
      <c r="U757" s="83"/>
      <c r="V757" s="83"/>
      <c r="W757" s="83"/>
      <c r="X757" s="83"/>
      <c r="Y757" s="83"/>
      <c r="Z757" s="83"/>
      <c r="AA757" s="83"/>
    </row>
    <row r="758" ht="15.75" customHeight="1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3"/>
      <c r="N758" s="84"/>
      <c r="O758" s="84"/>
      <c r="P758" s="83"/>
      <c r="Q758" s="83"/>
      <c r="R758" s="83"/>
      <c r="S758" s="83"/>
      <c r="T758" s="83"/>
      <c r="U758" s="83"/>
      <c r="V758" s="83"/>
      <c r="W758" s="83"/>
      <c r="X758" s="83"/>
      <c r="Y758" s="83"/>
      <c r="Z758" s="83"/>
      <c r="AA758" s="83"/>
    </row>
    <row r="759" ht="15.75" customHeight="1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3"/>
      <c r="N759" s="84"/>
      <c r="O759" s="84"/>
      <c r="P759" s="83"/>
      <c r="Q759" s="83"/>
      <c r="R759" s="83"/>
      <c r="S759" s="83"/>
      <c r="T759" s="83"/>
      <c r="U759" s="83"/>
      <c r="V759" s="83"/>
      <c r="W759" s="83"/>
      <c r="X759" s="83"/>
      <c r="Y759" s="83"/>
      <c r="Z759" s="83"/>
      <c r="AA759" s="83"/>
    </row>
    <row r="760" ht="15.75" customHeight="1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3"/>
      <c r="N760" s="84"/>
      <c r="O760" s="84"/>
      <c r="P760" s="83"/>
      <c r="Q760" s="83"/>
      <c r="R760" s="83"/>
      <c r="S760" s="83"/>
      <c r="T760" s="83"/>
      <c r="U760" s="83"/>
      <c r="V760" s="83"/>
      <c r="W760" s="83"/>
      <c r="X760" s="83"/>
      <c r="Y760" s="83"/>
      <c r="Z760" s="83"/>
      <c r="AA760" s="83"/>
    </row>
    <row r="761" ht="15.75" customHeight="1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3"/>
      <c r="N761" s="84"/>
      <c r="O761" s="84"/>
      <c r="P761" s="83"/>
      <c r="Q761" s="83"/>
      <c r="R761" s="83"/>
      <c r="S761" s="83"/>
      <c r="T761" s="83"/>
      <c r="U761" s="83"/>
      <c r="V761" s="83"/>
      <c r="W761" s="83"/>
      <c r="X761" s="83"/>
      <c r="Y761" s="83"/>
      <c r="Z761" s="83"/>
      <c r="AA761" s="83"/>
    </row>
    <row r="762" ht="15.75" customHeight="1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3"/>
      <c r="N762" s="84"/>
      <c r="O762" s="84"/>
      <c r="P762" s="83"/>
      <c r="Q762" s="83"/>
      <c r="R762" s="83"/>
      <c r="S762" s="83"/>
      <c r="T762" s="83"/>
      <c r="U762" s="83"/>
      <c r="V762" s="83"/>
      <c r="W762" s="83"/>
      <c r="X762" s="83"/>
      <c r="Y762" s="83"/>
      <c r="Z762" s="83"/>
      <c r="AA762" s="83"/>
    </row>
    <row r="763" ht="15.75" customHeight="1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3"/>
      <c r="N763" s="84"/>
      <c r="O763" s="84"/>
      <c r="P763" s="83"/>
      <c r="Q763" s="83"/>
      <c r="R763" s="83"/>
      <c r="S763" s="83"/>
      <c r="T763" s="83"/>
      <c r="U763" s="83"/>
      <c r="V763" s="83"/>
      <c r="W763" s="83"/>
      <c r="X763" s="83"/>
      <c r="Y763" s="83"/>
      <c r="Z763" s="83"/>
      <c r="AA763" s="83"/>
    </row>
    <row r="764" ht="15.75" customHeight="1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3"/>
      <c r="N764" s="84"/>
      <c r="O764" s="84"/>
      <c r="P764" s="83"/>
      <c r="Q764" s="83"/>
      <c r="R764" s="83"/>
      <c r="S764" s="83"/>
      <c r="T764" s="83"/>
      <c r="U764" s="83"/>
      <c r="V764" s="83"/>
      <c r="W764" s="83"/>
      <c r="X764" s="83"/>
      <c r="Y764" s="83"/>
      <c r="Z764" s="83"/>
      <c r="AA764" s="83"/>
    </row>
    <row r="765" ht="15.75" customHeight="1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3"/>
      <c r="N765" s="84"/>
      <c r="O765" s="84"/>
      <c r="P765" s="83"/>
      <c r="Q765" s="83"/>
      <c r="R765" s="83"/>
      <c r="S765" s="83"/>
      <c r="T765" s="83"/>
      <c r="U765" s="83"/>
      <c r="V765" s="83"/>
      <c r="W765" s="83"/>
      <c r="X765" s="83"/>
      <c r="Y765" s="83"/>
      <c r="Z765" s="83"/>
      <c r="AA765" s="83"/>
    </row>
    <row r="766" ht="15.75" customHeight="1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3"/>
      <c r="N766" s="84"/>
      <c r="O766" s="84"/>
      <c r="P766" s="83"/>
      <c r="Q766" s="83"/>
      <c r="R766" s="83"/>
      <c r="S766" s="83"/>
      <c r="T766" s="83"/>
      <c r="U766" s="83"/>
      <c r="V766" s="83"/>
      <c r="W766" s="83"/>
      <c r="X766" s="83"/>
      <c r="Y766" s="83"/>
      <c r="Z766" s="83"/>
      <c r="AA766" s="83"/>
    </row>
    <row r="767" ht="15.75" customHeight="1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3"/>
      <c r="N767" s="84"/>
      <c r="O767" s="84"/>
      <c r="P767" s="83"/>
      <c r="Q767" s="83"/>
      <c r="R767" s="83"/>
      <c r="S767" s="83"/>
      <c r="T767" s="83"/>
      <c r="U767" s="83"/>
      <c r="V767" s="83"/>
      <c r="W767" s="83"/>
      <c r="X767" s="83"/>
      <c r="Y767" s="83"/>
      <c r="Z767" s="83"/>
      <c r="AA767" s="83"/>
    </row>
    <row r="768" ht="15.75" customHeight="1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3"/>
      <c r="N768" s="84"/>
      <c r="O768" s="84"/>
      <c r="P768" s="83"/>
      <c r="Q768" s="83"/>
      <c r="R768" s="83"/>
      <c r="S768" s="83"/>
      <c r="T768" s="83"/>
      <c r="U768" s="83"/>
      <c r="V768" s="83"/>
      <c r="W768" s="83"/>
      <c r="X768" s="83"/>
      <c r="Y768" s="83"/>
      <c r="Z768" s="83"/>
      <c r="AA768" s="83"/>
    </row>
    <row r="769" ht="15.75" customHeight="1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3"/>
      <c r="N769" s="84"/>
      <c r="O769" s="84"/>
      <c r="P769" s="83"/>
      <c r="Q769" s="83"/>
      <c r="R769" s="83"/>
      <c r="S769" s="83"/>
      <c r="T769" s="83"/>
      <c r="U769" s="83"/>
      <c r="V769" s="83"/>
      <c r="W769" s="83"/>
      <c r="X769" s="83"/>
      <c r="Y769" s="83"/>
      <c r="Z769" s="83"/>
      <c r="AA769" s="83"/>
    </row>
    <row r="770" ht="15.75" customHeight="1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3"/>
      <c r="N770" s="84"/>
      <c r="O770" s="84"/>
      <c r="P770" s="83"/>
      <c r="Q770" s="83"/>
      <c r="R770" s="83"/>
      <c r="S770" s="83"/>
      <c r="T770" s="83"/>
      <c r="U770" s="83"/>
      <c r="V770" s="83"/>
      <c r="W770" s="83"/>
      <c r="X770" s="83"/>
      <c r="Y770" s="83"/>
      <c r="Z770" s="83"/>
      <c r="AA770" s="83"/>
    </row>
    <row r="771" ht="15.75" customHeight="1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3"/>
      <c r="N771" s="84"/>
      <c r="O771" s="84"/>
      <c r="P771" s="83"/>
      <c r="Q771" s="83"/>
      <c r="R771" s="83"/>
      <c r="S771" s="83"/>
      <c r="T771" s="83"/>
      <c r="U771" s="83"/>
      <c r="V771" s="83"/>
      <c r="W771" s="83"/>
      <c r="X771" s="83"/>
      <c r="Y771" s="83"/>
      <c r="Z771" s="83"/>
      <c r="AA771" s="83"/>
    </row>
    <row r="772" ht="15.75" customHeight="1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3"/>
      <c r="N772" s="84"/>
      <c r="O772" s="84"/>
      <c r="P772" s="83"/>
      <c r="Q772" s="83"/>
      <c r="R772" s="83"/>
      <c r="S772" s="83"/>
      <c r="T772" s="83"/>
      <c r="U772" s="83"/>
      <c r="V772" s="83"/>
      <c r="W772" s="83"/>
      <c r="X772" s="83"/>
      <c r="Y772" s="83"/>
      <c r="Z772" s="83"/>
      <c r="AA772" s="83"/>
    </row>
    <row r="773" ht="15.75" customHeight="1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3"/>
      <c r="N773" s="84"/>
      <c r="O773" s="84"/>
      <c r="P773" s="83"/>
      <c r="Q773" s="83"/>
      <c r="R773" s="83"/>
      <c r="S773" s="83"/>
      <c r="T773" s="83"/>
      <c r="U773" s="83"/>
      <c r="V773" s="83"/>
      <c r="W773" s="83"/>
      <c r="X773" s="83"/>
      <c r="Y773" s="83"/>
      <c r="Z773" s="83"/>
      <c r="AA773" s="83"/>
    </row>
    <row r="774" ht="15.75" customHeight="1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3"/>
      <c r="N774" s="84"/>
      <c r="O774" s="84"/>
      <c r="P774" s="83"/>
      <c r="Q774" s="83"/>
      <c r="R774" s="83"/>
      <c r="S774" s="83"/>
      <c r="T774" s="83"/>
      <c r="U774" s="83"/>
      <c r="V774" s="83"/>
      <c r="W774" s="83"/>
      <c r="X774" s="83"/>
      <c r="Y774" s="83"/>
      <c r="Z774" s="83"/>
      <c r="AA774" s="83"/>
    </row>
    <row r="775" ht="15.75" customHeight="1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3"/>
      <c r="N775" s="84"/>
      <c r="O775" s="84"/>
      <c r="P775" s="83"/>
      <c r="Q775" s="83"/>
      <c r="R775" s="83"/>
      <c r="S775" s="83"/>
      <c r="T775" s="83"/>
      <c r="U775" s="83"/>
      <c r="V775" s="83"/>
      <c r="W775" s="83"/>
      <c r="X775" s="83"/>
      <c r="Y775" s="83"/>
      <c r="Z775" s="83"/>
      <c r="AA775" s="83"/>
    </row>
    <row r="776" ht="15.75" customHeight="1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3"/>
      <c r="N776" s="84"/>
      <c r="O776" s="84"/>
      <c r="P776" s="83"/>
      <c r="Q776" s="83"/>
      <c r="R776" s="83"/>
      <c r="S776" s="83"/>
      <c r="T776" s="83"/>
      <c r="U776" s="83"/>
      <c r="V776" s="83"/>
      <c r="W776" s="83"/>
      <c r="X776" s="83"/>
      <c r="Y776" s="83"/>
      <c r="Z776" s="83"/>
      <c r="AA776" s="83"/>
    </row>
    <row r="777" ht="15.75" customHeight="1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3"/>
      <c r="N777" s="84"/>
      <c r="O777" s="84"/>
      <c r="P777" s="83"/>
      <c r="Q777" s="83"/>
      <c r="R777" s="83"/>
      <c r="S777" s="83"/>
      <c r="T777" s="83"/>
      <c r="U777" s="83"/>
      <c r="V777" s="83"/>
      <c r="W777" s="83"/>
      <c r="X777" s="83"/>
      <c r="Y777" s="83"/>
      <c r="Z777" s="83"/>
      <c r="AA777" s="83"/>
    </row>
    <row r="778" ht="15.75" customHeight="1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3"/>
      <c r="N778" s="84"/>
      <c r="O778" s="84"/>
      <c r="P778" s="83"/>
      <c r="Q778" s="83"/>
      <c r="R778" s="83"/>
      <c r="S778" s="83"/>
      <c r="T778" s="83"/>
      <c r="U778" s="83"/>
      <c r="V778" s="83"/>
      <c r="W778" s="83"/>
      <c r="X778" s="83"/>
      <c r="Y778" s="83"/>
      <c r="Z778" s="83"/>
      <c r="AA778" s="83"/>
    </row>
    <row r="779" ht="15.75" customHeight="1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3"/>
      <c r="N779" s="84"/>
      <c r="O779" s="84"/>
      <c r="P779" s="83"/>
      <c r="Q779" s="83"/>
      <c r="R779" s="83"/>
      <c r="S779" s="83"/>
      <c r="T779" s="83"/>
      <c r="U779" s="83"/>
      <c r="V779" s="83"/>
      <c r="W779" s="83"/>
      <c r="X779" s="83"/>
      <c r="Y779" s="83"/>
      <c r="Z779" s="83"/>
      <c r="AA779" s="83"/>
    </row>
    <row r="780" ht="15.75" customHeight="1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3"/>
      <c r="N780" s="84"/>
      <c r="O780" s="84"/>
      <c r="P780" s="83"/>
      <c r="Q780" s="83"/>
      <c r="R780" s="83"/>
      <c r="S780" s="83"/>
      <c r="T780" s="83"/>
      <c r="U780" s="83"/>
      <c r="V780" s="83"/>
      <c r="W780" s="83"/>
      <c r="X780" s="83"/>
      <c r="Y780" s="83"/>
      <c r="Z780" s="83"/>
      <c r="AA780" s="83"/>
    </row>
    <row r="781" ht="15.75" customHeight="1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3"/>
      <c r="N781" s="84"/>
      <c r="O781" s="84"/>
      <c r="P781" s="83"/>
      <c r="Q781" s="83"/>
      <c r="R781" s="83"/>
      <c r="S781" s="83"/>
      <c r="T781" s="83"/>
      <c r="U781" s="83"/>
      <c r="V781" s="83"/>
      <c r="W781" s="83"/>
      <c r="X781" s="83"/>
      <c r="Y781" s="83"/>
      <c r="Z781" s="83"/>
      <c r="AA781" s="83"/>
    </row>
    <row r="782" ht="15.75" customHeight="1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3"/>
      <c r="N782" s="84"/>
      <c r="O782" s="84"/>
      <c r="P782" s="83"/>
      <c r="Q782" s="83"/>
      <c r="R782" s="83"/>
      <c r="S782" s="83"/>
      <c r="T782" s="83"/>
      <c r="U782" s="83"/>
      <c r="V782" s="83"/>
      <c r="W782" s="83"/>
      <c r="X782" s="83"/>
      <c r="Y782" s="83"/>
      <c r="Z782" s="83"/>
      <c r="AA782" s="83"/>
    </row>
    <row r="783" ht="15.75" customHeight="1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3"/>
      <c r="N783" s="84"/>
      <c r="O783" s="84"/>
      <c r="P783" s="83"/>
      <c r="Q783" s="83"/>
      <c r="R783" s="83"/>
      <c r="S783" s="83"/>
      <c r="T783" s="83"/>
      <c r="U783" s="83"/>
      <c r="V783" s="83"/>
      <c r="W783" s="83"/>
      <c r="X783" s="83"/>
      <c r="Y783" s="83"/>
      <c r="Z783" s="83"/>
      <c r="AA783" s="83"/>
    </row>
    <row r="784" ht="15.75" customHeight="1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3"/>
      <c r="N784" s="84"/>
      <c r="O784" s="84"/>
      <c r="P784" s="83"/>
      <c r="Q784" s="83"/>
      <c r="R784" s="83"/>
      <c r="S784" s="83"/>
      <c r="T784" s="83"/>
      <c r="U784" s="83"/>
      <c r="V784" s="83"/>
      <c r="W784" s="83"/>
      <c r="X784" s="83"/>
      <c r="Y784" s="83"/>
      <c r="Z784" s="83"/>
      <c r="AA784" s="83"/>
    </row>
    <row r="785" ht="15.75" customHeight="1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3"/>
      <c r="N785" s="84"/>
      <c r="O785" s="84"/>
      <c r="P785" s="83"/>
      <c r="Q785" s="83"/>
      <c r="R785" s="83"/>
      <c r="S785" s="83"/>
      <c r="T785" s="83"/>
      <c r="U785" s="83"/>
      <c r="V785" s="83"/>
      <c r="W785" s="83"/>
      <c r="X785" s="83"/>
      <c r="Y785" s="83"/>
      <c r="Z785" s="83"/>
      <c r="AA785" s="83"/>
    </row>
    <row r="786" ht="15.75" customHeight="1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3"/>
      <c r="N786" s="84"/>
      <c r="O786" s="84"/>
      <c r="P786" s="83"/>
      <c r="Q786" s="83"/>
      <c r="R786" s="83"/>
      <c r="S786" s="83"/>
      <c r="T786" s="83"/>
      <c r="U786" s="83"/>
      <c r="V786" s="83"/>
      <c r="W786" s="83"/>
      <c r="X786" s="83"/>
      <c r="Y786" s="83"/>
      <c r="Z786" s="83"/>
      <c r="AA786" s="83"/>
    </row>
    <row r="787" ht="15.75" customHeight="1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3"/>
      <c r="N787" s="84"/>
      <c r="O787" s="84"/>
      <c r="P787" s="83"/>
      <c r="Q787" s="83"/>
      <c r="R787" s="83"/>
      <c r="S787" s="83"/>
      <c r="T787" s="83"/>
      <c r="U787" s="83"/>
      <c r="V787" s="83"/>
      <c r="W787" s="83"/>
      <c r="X787" s="83"/>
      <c r="Y787" s="83"/>
      <c r="Z787" s="83"/>
      <c r="AA787" s="83"/>
    </row>
    <row r="788" ht="15.75" customHeight="1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3"/>
      <c r="N788" s="84"/>
      <c r="O788" s="84"/>
      <c r="P788" s="83"/>
      <c r="Q788" s="83"/>
      <c r="R788" s="83"/>
      <c r="S788" s="83"/>
      <c r="T788" s="83"/>
      <c r="U788" s="83"/>
      <c r="V788" s="83"/>
      <c r="W788" s="83"/>
      <c r="X788" s="83"/>
      <c r="Y788" s="83"/>
      <c r="Z788" s="83"/>
      <c r="AA788" s="83"/>
    </row>
    <row r="789" ht="15.75" customHeight="1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3"/>
      <c r="N789" s="84"/>
      <c r="O789" s="84"/>
      <c r="P789" s="83"/>
      <c r="Q789" s="83"/>
      <c r="R789" s="83"/>
      <c r="S789" s="83"/>
      <c r="T789" s="83"/>
      <c r="U789" s="83"/>
      <c r="V789" s="83"/>
      <c r="W789" s="83"/>
      <c r="X789" s="83"/>
      <c r="Y789" s="83"/>
      <c r="Z789" s="83"/>
      <c r="AA789" s="83"/>
    </row>
    <row r="790" ht="15.75" customHeight="1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3"/>
      <c r="N790" s="84"/>
      <c r="O790" s="84"/>
      <c r="P790" s="83"/>
      <c r="Q790" s="83"/>
      <c r="R790" s="83"/>
      <c r="S790" s="83"/>
      <c r="T790" s="83"/>
      <c r="U790" s="83"/>
      <c r="V790" s="83"/>
      <c r="W790" s="83"/>
      <c r="X790" s="83"/>
      <c r="Y790" s="83"/>
      <c r="Z790" s="83"/>
      <c r="AA790" s="83"/>
    </row>
    <row r="791" ht="15.75" customHeight="1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3"/>
      <c r="N791" s="84"/>
      <c r="O791" s="84"/>
      <c r="P791" s="83"/>
      <c r="Q791" s="83"/>
      <c r="R791" s="83"/>
      <c r="S791" s="83"/>
      <c r="T791" s="83"/>
      <c r="U791" s="83"/>
      <c r="V791" s="83"/>
      <c r="W791" s="83"/>
      <c r="X791" s="83"/>
      <c r="Y791" s="83"/>
      <c r="Z791" s="83"/>
      <c r="AA791" s="83"/>
    </row>
    <row r="792" ht="15.75" customHeight="1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3"/>
      <c r="N792" s="84"/>
      <c r="O792" s="84"/>
      <c r="P792" s="83"/>
      <c r="Q792" s="83"/>
      <c r="R792" s="83"/>
      <c r="S792" s="83"/>
      <c r="T792" s="83"/>
      <c r="U792" s="83"/>
      <c r="V792" s="83"/>
      <c r="W792" s="83"/>
      <c r="X792" s="83"/>
      <c r="Y792" s="83"/>
      <c r="Z792" s="83"/>
      <c r="AA792" s="83"/>
    </row>
    <row r="793" ht="15.75" customHeight="1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3"/>
      <c r="N793" s="84"/>
      <c r="O793" s="84"/>
      <c r="P793" s="83"/>
      <c r="Q793" s="83"/>
      <c r="R793" s="83"/>
      <c r="S793" s="83"/>
      <c r="T793" s="83"/>
      <c r="U793" s="83"/>
      <c r="V793" s="83"/>
      <c r="W793" s="83"/>
      <c r="X793" s="83"/>
      <c r="Y793" s="83"/>
      <c r="Z793" s="83"/>
      <c r="AA793" s="83"/>
    </row>
    <row r="794" ht="15.75" customHeight="1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3"/>
      <c r="N794" s="84"/>
      <c r="O794" s="84"/>
      <c r="P794" s="83"/>
      <c r="Q794" s="83"/>
      <c r="R794" s="83"/>
      <c r="S794" s="83"/>
      <c r="T794" s="83"/>
      <c r="U794" s="83"/>
      <c r="V794" s="83"/>
      <c r="W794" s="83"/>
      <c r="X794" s="83"/>
      <c r="Y794" s="83"/>
      <c r="Z794" s="83"/>
      <c r="AA794" s="83"/>
    </row>
    <row r="795" ht="15.75" customHeight="1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3"/>
      <c r="N795" s="84"/>
      <c r="O795" s="84"/>
      <c r="P795" s="83"/>
      <c r="Q795" s="83"/>
      <c r="R795" s="83"/>
      <c r="S795" s="83"/>
      <c r="T795" s="83"/>
      <c r="U795" s="83"/>
      <c r="V795" s="83"/>
      <c r="W795" s="83"/>
      <c r="X795" s="83"/>
      <c r="Y795" s="83"/>
      <c r="Z795" s="83"/>
      <c r="AA795" s="83"/>
    </row>
    <row r="796" ht="15.75" customHeight="1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3"/>
      <c r="N796" s="84"/>
      <c r="O796" s="84"/>
      <c r="P796" s="83"/>
      <c r="Q796" s="83"/>
      <c r="R796" s="83"/>
      <c r="S796" s="83"/>
      <c r="T796" s="83"/>
      <c r="U796" s="83"/>
      <c r="V796" s="83"/>
      <c r="W796" s="83"/>
      <c r="X796" s="83"/>
      <c r="Y796" s="83"/>
      <c r="Z796" s="83"/>
      <c r="AA796" s="83"/>
    </row>
    <row r="797" ht="15.75" customHeight="1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3"/>
      <c r="N797" s="84"/>
      <c r="O797" s="84"/>
      <c r="P797" s="83"/>
      <c r="Q797" s="83"/>
      <c r="R797" s="83"/>
      <c r="S797" s="83"/>
      <c r="T797" s="83"/>
      <c r="U797" s="83"/>
      <c r="V797" s="83"/>
      <c r="W797" s="83"/>
      <c r="X797" s="83"/>
      <c r="Y797" s="83"/>
      <c r="Z797" s="83"/>
      <c r="AA797" s="83"/>
    </row>
    <row r="798" ht="15.75" customHeight="1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3"/>
      <c r="N798" s="84"/>
      <c r="O798" s="84"/>
      <c r="P798" s="83"/>
      <c r="Q798" s="83"/>
      <c r="R798" s="83"/>
      <c r="S798" s="83"/>
      <c r="T798" s="83"/>
      <c r="U798" s="83"/>
      <c r="V798" s="83"/>
      <c r="W798" s="83"/>
      <c r="X798" s="83"/>
      <c r="Y798" s="83"/>
      <c r="Z798" s="83"/>
      <c r="AA798" s="83"/>
    </row>
    <row r="799" ht="15.75" customHeight="1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3"/>
      <c r="N799" s="84"/>
      <c r="O799" s="84"/>
      <c r="P799" s="83"/>
      <c r="Q799" s="83"/>
      <c r="R799" s="83"/>
      <c r="S799" s="83"/>
      <c r="T799" s="83"/>
      <c r="U799" s="83"/>
      <c r="V799" s="83"/>
      <c r="W799" s="83"/>
      <c r="X799" s="83"/>
      <c r="Y799" s="83"/>
      <c r="Z799" s="83"/>
      <c r="AA799" s="83"/>
    </row>
    <row r="800" ht="15.75" customHeight="1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3"/>
      <c r="N800" s="84"/>
      <c r="O800" s="84"/>
      <c r="P800" s="83"/>
      <c r="Q800" s="83"/>
      <c r="R800" s="83"/>
      <c r="S800" s="83"/>
      <c r="T800" s="83"/>
      <c r="U800" s="83"/>
      <c r="V800" s="83"/>
      <c r="W800" s="83"/>
      <c r="X800" s="83"/>
      <c r="Y800" s="83"/>
      <c r="Z800" s="83"/>
      <c r="AA800" s="83"/>
    </row>
    <row r="801" ht="15.75" customHeight="1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3"/>
      <c r="N801" s="84"/>
      <c r="O801" s="84"/>
      <c r="P801" s="83"/>
      <c r="Q801" s="83"/>
      <c r="R801" s="83"/>
      <c r="S801" s="83"/>
      <c r="T801" s="83"/>
      <c r="U801" s="83"/>
      <c r="V801" s="83"/>
      <c r="W801" s="83"/>
      <c r="X801" s="83"/>
      <c r="Y801" s="83"/>
      <c r="Z801" s="83"/>
      <c r="AA801" s="83"/>
    </row>
    <row r="802" ht="15.75" customHeight="1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3"/>
      <c r="N802" s="84"/>
      <c r="O802" s="84"/>
      <c r="P802" s="83"/>
      <c r="Q802" s="83"/>
      <c r="R802" s="83"/>
      <c r="S802" s="83"/>
      <c r="T802" s="83"/>
      <c r="U802" s="83"/>
      <c r="V802" s="83"/>
      <c r="W802" s="83"/>
      <c r="X802" s="83"/>
      <c r="Y802" s="83"/>
      <c r="Z802" s="83"/>
      <c r="AA802" s="83"/>
    </row>
    <row r="803" ht="15.75" customHeight="1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3"/>
      <c r="N803" s="84"/>
      <c r="O803" s="84"/>
      <c r="P803" s="83"/>
      <c r="Q803" s="83"/>
      <c r="R803" s="83"/>
      <c r="S803" s="83"/>
      <c r="T803" s="83"/>
      <c r="U803" s="83"/>
      <c r="V803" s="83"/>
      <c r="W803" s="83"/>
      <c r="X803" s="83"/>
      <c r="Y803" s="83"/>
      <c r="Z803" s="83"/>
      <c r="AA803" s="83"/>
    </row>
    <row r="804" ht="15.75" customHeight="1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3"/>
      <c r="N804" s="84"/>
      <c r="O804" s="84"/>
      <c r="P804" s="83"/>
      <c r="Q804" s="83"/>
      <c r="R804" s="83"/>
      <c r="S804" s="83"/>
      <c r="T804" s="83"/>
      <c r="U804" s="83"/>
      <c r="V804" s="83"/>
      <c r="W804" s="83"/>
      <c r="X804" s="83"/>
      <c r="Y804" s="83"/>
      <c r="Z804" s="83"/>
      <c r="AA804" s="83"/>
    </row>
    <row r="805" ht="15.75" customHeight="1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3"/>
      <c r="N805" s="84"/>
      <c r="O805" s="84"/>
      <c r="P805" s="83"/>
      <c r="Q805" s="83"/>
      <c r="R805" s="83"/>
      <c r="S805" s="83"/>
      <c r="T805" s="83"/>
      <c r="U805" s="83"/>
      <c r="V805" s="83"/>
      <c r="W805" s="83"/>
      <c r="X805" s="83"/>
      <c r="Y805" s="83"/>
      <c r="Z805" s="83"/>
      <c r="AA805" s="83"/>
    </row>
    <row r="806" ht="15.75" customHeight="1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3"/>
      <c r="N806" s="84"/>
      <c r="O806" s="84"/>
      <c r="P806" s="83"/>
      <c r="Q806" s="83"/>
      <c r="R806" s="83"/>
      <c r="S806" s="83"/>
      <c r="T806" s="83"/>
      <c r="U806" s="83"/>
      <c r="V806" s="83"/>
      <c r="W806" s="83"/>
      <c r="X806" s="83"/>
      <c r="Y806" s="83"/>
      <c r="Z806" s="83"/>
      <c r="AA806" s="83"/>
    </row>
    <row r="807" ht="15.75" customHeight="1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3"/>
      <c r="N807" s="84"/>
      <c r="O807" s="84"/>
      <c r="P807" s="83"/>
      <c r="Q807" s="83"/>
      <c r="R807" s="83"/>
      <c r="S807" s="83"/>
      <c r="T807" s="83"/>
      <c r="U807" s="83"/>
      <c r="V807" s="83"/>
      <c r="W807" s="83"/>
      <c r="X807" s="83"/>
      <c r="Y807" s="83"/>
      <c r="Z807" s="83"/>
      <c r="AA807" s="83"/>
    </row>
    <row r="808" ht="15.75" customHeight="1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3"/>
      <c r="N808" s="84"/>
      <c r="O808" s="84"/>
      <c r="P808" s="83"/>
      <c r="Q808" s="83"/>
      <c r="R808" s="83"/>
      <c r="S808" s="83"/>
      <c r="T808" s="83"/>
      <c r="U808" s="83"/>
      <c r="V808" s="83"/>
      <c r="W808" s="83"/>
      <c r="X808" s="83"/>
      <c r="Y808" s="83"/>
      <c r="Z808" s="83"/>
      <c r="AA808" s="83"/>
    </row>
    <row r="809" ht="15.75" customHeight="1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3"/>
      <c r="N809" s="84"/>
      <c r="O809" s="84"/>
      <c r="P809" s="83"/>
      <c r="Q809" s="83"/>
      <c r="R809" s="83"/>
      <c r="S809" s="83"/>
      <c r="T809" s="83"/>
      <c r="U809" s="83"/>
      <c r="V809" s="83"/>
      <c r="W809" s="83"/>
      <c r="X809" s="83"/>
      <c r="Y809" s="83"/>
      <c r="Z809" s="83"/>
      <c r="AA809" s="83"/>
    </row>
    <row r="810" ht="15.75" customHeight="1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3"/>
      <c r="N810" s="84"/>
      <c r="O810" s="84"/>
      <c r="P810" s="83"/>
      <c r="Q810" s="83"/>
      <c r="R810" s="83"/>
      <c r="S810" s="83"/>
      <c r="T810" s="83"/>
      <c r="U810" s="83"/>
      <c r="V810" s="83"/>
      <c r="W810" s="83"/>
      <c r="X810" s="83"/>
      <c r="Y810" s="83"/>
      <c r="Z810" s="83"/>
      <c r="AA810" s="83"/>
    </row>
    <row r="811" ht="15.75" customHeight="1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3"/>
      <c r="N811" s="84"/>
      <c r="O811" s="84"/>
      <c r="P811" s="83"/>
      <c r="Q811" s="83"/>
      <c r="R811" s="83"/>
      <c r="S811" s="83"/>
      <c r="T811" s="83"/>
      <c r="U811" s="83"/>
      <c r="V811" s="83"/>
      <c r="W811" s="83"/>
      <c r="X811" s="83"/>
      <c r="Y811" s="83"/>
      <c r="Z811" s="83"/>
      <c r="AA811" s="83"/>
    </row>
    <row r="812" ht="15.75" customHeight="1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3"/>
      <c r="N812" s="84"/>
      <c r="O812" s="84"/>
      <c r="P812" s="83"/>
      <c r="Q812" s="83"/>
      <c r="R812" s="83"/>
      <c r="S812" s="83"/>
      <c r="T812" s="83"/>
      <c r="U812" s="83"/>
      <c r="V812" s="83"/>
      <c r="W812" s="83"/>
      <c r="X812" s="83"/>
      <c r="Y812" s="83"/>
      <c r="Z812" s="83"/>
      <c r="AA812" s="83"/>
    </row>
    <row r="813" ht="15.75" customHeight="1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3"/>
      <c r="N813" s="84"/>
      <c r="O813" s="84"/>
      <c r="P813" s="83"/>
      <c r="Q813" s="83"/>
      <c r="R813" s="83"/>
      <c r="S813" s="83"/>
      <c r="T813" s="83"/>
      <c r="U813" s="83"/>
      <c r="V813" s="83"/>
      <c r="W813" s="83"/>
      <c r="X813" s="83"/>
      <c r="Y813" s="83"/>
      <c r="Z813" s="83"/>
      <c r="AA813" s="83"/>
    </row>
    <row r="814" ht="15.75" customHeight="1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3"/>
      <c r="N814" s="84"/>
      <c r="O814" s="84"/>
      <c r="P814" s="83"/>
      <c r="Q814" s="83"/>
      <c r="R814" s="83"/>
      <c r="S814" s="83"/>
      <c r="T814" s="83"/>
      <c r="U814" s="83"/>
      <c r="V814" s="83"/>
      <c r="W814" s="83"/>
      <c r="X814" s="83"/>
      <c r="Y814" s="83"/>
      <c r="Z814" s="83"/>
      <c r="AA814" s="83"/>
    </row>
    <row r="815" ht="15.75" customHeight="1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3"/>
      <c r="N815" s="84"/>
      <c r="O815" s="84"/>
      <c r="P815" s="83"/>
      <c r="Q815" s="83"/>
      <c r="R815" s="83"/>
      <c r="S815" s="83"/>
      <c r="T815" s="83"/>
      <c r="U815" s="83"/>
      <c r="V815" s="83"/>
      <c r="W815" s="83"/>
      <c r="X815" s="83"/>
      <c r="Y815" s="83"/>
      <c r="Z815" s="83"/>
      <c r="AA815" s="83"/>
    </row>
    <row r="816" ht="15.75" customHeight="1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3"/>
      <c r="N816" s="84"/>
      <c r="O816" s="84"/>
      <c r="P816" s="83"/>
      <c r="Q816" s="83"/>
      <c r="R816" s="83"/>
      <c r="S816" s="83"/>
      <c r="T816" s="83"/>
      <c r="U816" s="83"/>
      <c r="V816" s="83"/>
      <c r="W816" s="83"/>
      <c r="X816" s="83"/>
      <c r="Y816" s="83"/>
      <c r="Z816" s="83"/>
      <c r="AA816" s="83"/>
    </row>
    <row r="817" ht="15.75" customHeight="1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3"/>
      <c r="N817" s="84"/>
      <c r="O817" s="84"/>
      <c r="P817" s="83"/>
      <c r="Q817" s="83"/>
      <c r="R817" s="83"/>
      <c r="S817" s="83"/>
      <c r="T817" s="83"/>
      <c r="U817" s="83"/>
      <c r="V817" s="83"/>
      <c r="W817" s="83"/>
      <c r="X817" s="83"/>
      <c r="Y817" s="83"/>
      <c r="Z817" s="83"/>
      <c r="AA817" s="83"/>
    </row>
    <row r="818" ht="15.75" customHeight="1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3"/>
      <c r="N818" s="84"/>
      <c r="O818" s="84"/>
      <c r="P818" s="83"/>
      <c r="Q818" s="83"/>
      <c r="R818" s="83"/>
      <c r="S818" s="83"/>
      <c r="T818" s="83"/>
      <c r="U818" s="83"/>
      <c r="V818" s="83"/>
      <c r="W818" s="83"/>
      <c r="X818" s="83"/>
      <c r="Y818" s="83"/>
      <c r="Z818" s="83"/>
      <c r="AA818" s="83"/>
    </row>
    <row r="819" ht="15.75" customHeight="1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3"/>
      <c r="N819" s="84"/>
      <c r="O819" s="84"/>
      <c r="P819" s="83"/>
      <c r="Q819" s="83"/>
      <c r="R819" s="83"/>
      <c r="S819" s="83"/>
      <c r="T819" s="83"/>
      <c r="U819" s="83"/>
      <c r="V819" s="83"/>
      <c r="W819" s="83"/>
      <c r="X819" s="83"/>
      <c r="Y819" s="83"/>
      <c r="Z819" s="83"/>
      <c r="AA819" s="83"/>
    </row>
    <row r="820" ht="15.75" customHeight="1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3"/>
      <c r="N820" s="84"/>
      <c r="O820" s="84"/>
      <c r="P820" s="83"/>
      <c r="Q820" s="83"/>
      <c r="R820" s="83"/>
      <c r="S820" s="83"/>
      <c r="T820" s="83"/>
      <c r="U820" s="83"/>
      <c r="V820" s="83"/>
      <c r="W820" s="83"/>
      <c r="X820" s="83"/>
      <c r="Y820" s="83"/>
      <c r="Z820" s="83"/>
      <c r="AA820" s="83"/>
    </row>
    <row r="821" ht="15.75" customHeight="1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3"/>
      <c r="N821" s="84"/>
      <c r="O821" s="84"/>
      <c r="P821" s="83"/>
      <c r="Q821" s="83"/>
      <c r="R821" s="83"/>
      <c r="S821" s="83"/>
      <c r="T821" s="83"/>
      <c r="U821" s="83"/>
      <c r="V821" s="83"/>
      <c r="W821" s="83"/>
      <c r="X821" s="83"/>
      <c r="Y821" s="83"/>
      <c r="Z821" s="83"/>
      <c r="AA821" s="83"/>
    </row>
    <row r="822" ht="15.75" customHeight="1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3"/>
      <c r="N822" s="84"/>
      <c r="O822" s="84"/>
      <c r="P822" s="83"/>
      <c r="Q822" s="83"/>
      <c r="R822" s="83"/>
      <c r="S822" s="83"/>
      <c r="T822" s="83"/>
      <c r="U822" s="83"/>
      <c r="V822" s="83"/>
      <c r="W822" s="83"/>
      <c r="X822" s="83"/>
      <c r="Y822" s="83"/>
      <c r="Z822" s="83"/>
      <c r="AA822" s="83"/>
    </row>
    <row r="823" ht="15.75" customHeight="1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3"/>
      <c r="N823" s="84"/>
      <c r="O823" s="84"/>
      <c r="P823" s="83"/>
      <c r="Q823" s="83"/>
      <c r="R823" s="83"/>
      <c r="S823" s="83"/>
      <c r="T823" s="83"/>
      <c r="U823" s="83"/>
      <c r="V823" s="83"/>
      <c r="W823" s="83"/>
      <c r="X823" s="83"/>
      <c r="Y823" s="83"/>
      <c r="Z823" s="83"/>
      <c r="AA823" s="83"/>
    </row>
    <row r="824" ht="15.75" customHeight="1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3"/>
      <c r="N824" s="84"/>
      <c r="O824" s="84"/>
      <c r="P824" s="83"/>
      <c r="Q824" s="83"/>
      <c r="R824" s="83"/>
      <c r="S824" s="83"/>
      <c r="T824" s="83"/>
      <c r="U824" s="83"/>
      <c r="V824" s="83"/>
      <c r="W824" s="83"/>
      <c r="X824" s="83"/>
      <c r="Y824" s="83"/>
      <c r="Z824" s="83"/>
      <c r="AA824" s="83"/>
    </row>
    <row r="825" ht="15.75" customHeight="1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3"/>
      <c r="N825" s="84"/>
      <c r="O825" s="84"/>
      <c r="P825" s="83"/>
      <c r="Q825" s="83"/>
      <c r="R825" s="83"/>
      <c r="S825" s="83"/>
      <c r="T825" s="83"/>
      <c r="U825" s="83"/>
      <c r="V825" s="83"/>
      <c r="W825" s="83"/>
      <c r="X825" s="83"/>
      <c r="Y825" s="83"/>
      <c r="Z825" s="83"/>
      <c r="AA825" s="83"/>
    </row>
    <row r="826" ht="15.75" customHeight="1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3"/>
      <c r="N826" s="84"/>
      <c r="O826" s="84"/>
      <c r="P826" s="83"/>
      <c r="Q826" s="83"/>
      <c r="R826" s="83"/>
      <c r="S826" s="83"/>
      <c r="T826" s="83"/>
      <c r="U826" s="83"/>
      <c r="V826" s="83"/>
      <c r="W826" s="83"/>
      <c r="X826" s="83"/>
      <c r="Y826" s="83"/>
      <c r="Z826" s="83"/>
      <c r="AA826" s="83"/>
    </row>
    <row r="827" ht="15.75" customHeight="1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3"/>
      <c r="N827" s="84"/>
      <c r="O827" s="84"/>
      <c r="P827" s="83"/>
      <c r="Q827" s="83"/>
      <c r="R827" s="83"/>
      <c r="S827" s="83"/>
      <c r="T827" s="83"/>
      <c r="U827" s="83"/>
      <c r="V827" s="83"/>
      <c r="W827" s="83"/>
      <c r="X827" s="83"/>
      <c r="Y827" s="83"/>
      <c r="Z827" s="83"/>
      <c r="AA827" s="83"/>
    </row>
    <row r="828" ht="15.75" customHeight="1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3"/>
      <c r="N828" s="84"/>
      <c r="O828" s="84"/>
      <c r="P828" s="83"/>
      <c r="Q828" s="83"/>
      <c r="R828" s="83"/>
      <c r="S828" s="83"/>
      <c r="T828" s="83"/>
      <c r="U828" s="83"/>
      <c r="V828" s="83"/>
      <c r="W828" s="83"/>
      <c r="X828" s="83"/>
      <c r="Y828" s="83"/>
      <c r="Z828" s="83"/>
      <c r="AA828" s="83"/>
    </row>
    <row r="829" ht="15.75" customHeight="1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3"/>
      <c r="N829" s="84"/>
      <c r="O829" s="84"/>
      <c r="P829" s="83"/>
      <c r="Q829" s="83"/>
      <c r="R829" s="83"/>
      <c r="S829" s="83"/>
      <c r="T829" s="83"/>
      <c r="U829" s="83"/>
      <c r="V829" s="83"/>
      <c r="W829" s="83"/>
      <c r="X829" s="83"/>
      <c r="Y829" s="83"/>
      <c r="Z829" s="83"/>
      <c r="AA829" s="83"/>
    </row>
    <row r="830" ht="15.75" customHeight="1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3"/>
      <c r="N830" s="84"/>
      <c r="O830" s="84"/>
      <c r="P830" s="83"/>
      <c r="Q830" s="83"/>
      <c r="R830" s="83"/>
      <c r="S830" s="83"/>
      <c r="T830" s="83"/>
      <c r="U830" s="83"/>
      <c r="V830" s="83"/>
      <c r="W830" s="83"/>
      <c r="X830" s="83"/>
      <c r="Y830" s="83"/>
      <c r="Z830" s="83"/>
      <c r="AA830" s="83"/>
    </row>
    <row r="831" ht="15.75" customHeight="1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3"/>
      <c r="N831" s="84"/>
      <c r="O831" s="84"/>
      <c r="P831" s="83"/>
      <c r="Q831" s="83"/>
      <c r="R831" s="83"/>
      <c r="S831" s="83"/>
      <c r="T831" s="83"/>
      <c r="U831" s="83"/>
      <c r="V831" s="83"/>
      <c r="W831" s="83"/>
      <c r="X831" s="83"/>
      <c r="Y831" s="83"/>
      <c r="Z831" s="83"/>
      <c r="AA831" s="83"/>
    </row>
    <row r="832" ht="15.75" customHeight="1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3"/>
      <c r="N832" s="84"/>
      <c r="O832" s="84"/>
      <c r="P832" s="83"/>
      <c r="Q832" s="83"/>
      <c r="R832" s="83"/>
      <c r="S832" s="83"/>
      <c r="T832" s="83"/>
      <c r="U832" s="83"/>
      <c r="V832" s="83"/>
      <c r="W832" s="83"/>
      <c r="X832" s="83"/>
      <c r="Y832" s="83"/>
      <c r="Z832" s="83"/>
      <c r="AA832" s="83"/>
    </row>
    <row r="833" ht="15.75" customHeight="1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3"/>
      <c r="N833" s="84"/>
      <c r="O833" s="84"/>
      <c r="P833" s="83"/>
      <c r="Q833" s="83"/>
      <c r="R833" s="83"/>
      <c r="S833" s="83"/>
      <c r="T833" s="83"/>
      <c r="U833" s="83"/>
      <c r="V833" s="83"/>
      <c r="W833" s="83"/>
      <c r="X833" s="83"/>
      <c r="Y833" s="83"/>
      <c r="Z833" s="83"/>
      <c r="AA833" s="83"/>
    </row>
    <row r="834" ht="15.75" customHeight="1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3"/>
      <c r="N834" s="84"/>
      <c r="O834" s="84"/>
      <c r="P834" s="83"/>
      <c r="Q834" s="83"/>
      <c r="R834" s="83"/>
      <c r="S834" s="83"/>
      <c r="T834" s="83"/>
      <c r="U834" s="83"/>
      <c r="V834" s="83"/>
      <c r="W834" s="83"/>
      <c r="X834" s="83"/>
      <c r="Y834" s="83"/>
      <c r="Z834" s="83"/>
      <c r="AA834" s="83"/>
    </row>
    <row r="835" ht="15.75" customHeight="1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3"/>
      <c r="N835" s="84"/>
      <c r="O835" s="84"/>
      <c r="P835" s="83"/>
      <c r="Q835" s="83"/>
      <c r="R835" s="83"/>
      <c r="S835" s="83"/>
      <c r="T835" s="83"/>
      <c r="U835" s="83"/>
      <c r="V835" s="83"/>
      <c r="W835" s="83"/>
      <c r="X835" s="83"/>
      <c r="Y835" s="83"/>
      <c r="Z835" s="83"/>
      <c r="AA835" s="83"/>
    </row>
    <row r="836" ht="15.75" customHeight="1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3"/>
      <c r="N836" s="84"/>
      <c r="O836" s="84"/>
      <c r="P836" s="83"/>
      <c r="Q836" s="83"/>
      <c r="R836" s="83"/>
      <c r="S836" s="83"/>
      <c r="T836" s="83"/>
      <c r="U836" s="83"/>
      <c r="V836" s="83"/>
      <c r="W836" s="83"/>
      <c r="X836" s="83"/>
      <c r="Y836" s="83"/>
      <c r="Z836" s="83"/>
      <c r="AA836" s="83"/>
    </row>
    <row r="837" ht="15.75" customHeight="1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3"/>
      <c r="N837" s="84"/>
      <c r="O837" s="84"/>
      <c r="P837" s="83"/>
      <c r="Q837" s="83"/>
      <c r="R837" s="83"/>
      <c r="S837" s="83"/>
      <c r="T837" s="83"/>
      <c r="U837" s="83"/>
      <c r="V837" s="83"/>
      <c r="W837" s="83"/>
      <c r="X837" s="83"/>
      <c r="Y837" s="83"/>
      <c r="Z837" s="83"/>
      <c r="AA837" s="83"/>
    </row>
    <row r="838" ht="15.75" customHeight="1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3"/>
      <c r="N838" s="84"/>
      <c r="O838" s="84"/>
      <c r="P838" s="83"/>
      <c r="Q838" s="83"/>
      <c r="R838" s="83"/>
      <c r="S838" s="83"/>
      <c r="T838" s="83"/>
      <c r="U838" s="83"/>
      <c r="V838" s="83"/>
      <c r="W838" s="83"/>
      <c r="X838" s="83"/>
      <c r="Y838" s="83"/>
      <c r="Z838" s="83"/>
      <c r="AA838" s="83"/>
    </row>
    <row r="839" ht="15.75" customHeight="1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3"/>
      <c r="N839" s="84"/>
      <c r="O839" s="84"/>
      <c r="P839" s="83"/>
      <c r="Q839" s="83"/>
      <c r="R839" s="83"/>
      <c r="S839" s="83"/>
      <c r="T839" s="83"/>
      <c r="U839" s="83"/>
      <c r="V839" s="83"/>
      <c r="W839" s="83"/>
      <c r="X839" s="83"/>
      <c r="Y839" s="83"/>
      <c r="Z839" s="83"/>
      <c r="AA839" s="83"/>
    </row>
    <row r="840" ht="15.75" customHeight="1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3"/>
      <c r="N840" s="84"/>
      <c r="O840" s="84"/>
      <c r="P840" s="83"/>
      <c r="Q840" s="83"/>
      <c r="R840" s="83"/>
      <c r="S840" s="83"/>
      <c r="T840" s="83"/>
      <c r="U840" s="83"/>
      <c r="V840" s="83"/>
      <c r="W840" s="83"/>
      <c r="X840" s="83"/>
      <c r="Y840" s="83"/>
      <c r="Z840" s="83"/>
      <c r="AA840" s="83"/>
    </row>
    <row r="841" ht="15.75" customHeight="1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3"/>
      <c r="N841" s="84"/>
      <c r="O841" s="84"/>
      <c r="P841" s="83"/>
      <c r="Q841" s="83"/>
      <c r="R841" s="83"/>
      <c r="S841" s="83"/>
      <c r="T841" s="83"/>
      <c r="U841" s="83"/>
      <c r="V841" s="83"/>
      <c r="W841" s="83"/>
      <c r="X841" s="83"/>
      <c r="Y841" s="83"/>
      <c r="Z841" s="83"/>
      <c r="AA841" s="83"/>
    </row>
    <row r="842" ht="15.75" customHeight="1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3"/>
      <c r="N842" s="84"/>
      <c r="O842" s="84"/>
      <c r="P842" s="83"/>
      <c r="Q842" s="83"/>
      <c r="R842" s="83"/>
      <c r="S842" s="83"/>
      <c r="T842" s="83"/>
      <c r="U842" s="83"/>
      <c r="V842" s="83"/>
      <c r="W842" s="83"/>
      <c r="X842" s="83"/>
      <c r="Y842" s="83"/>
      <c r="Z842" s="83"/>
      <c r="AA842" s="83"/>
    </row>
    <row r="843" ht="15.75" customHeight="1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3"/>
      <c r="N843" s="84"/>
      <c r="O843" s="84"/>
      <c r="P843" s="83"/>
      <c r="Q843" s="83"/>
      <c r="R843" s="83"/>
      <c r="S843" s="83"/>
      <c r="T843" s="83"/>
      <c r="U843" s="83"/>
      <c r="V843" s="83"/>
      <c r="W843" s="83"/>
      <c r="X843" s="83"/>
      <c r="Y843" s="83"/>
      <c r="Z843" s="83"/>
      <c r="AA843" s="83"/>
    </row>
    <row r="844" ht="15.75" customHeight="1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3"/>
      <c r="N844" s="84"/>
      <c r="O844" s="84"/>
      <c r="P844" s="83"/>
      <c r="Q844" s="83"/>
      <c r="R844" s="83"/>
      <c r="S844" s="83"/>
      <c r="T844" s="83"/>
      <c r="U844" s="83"/>
      <c r="V844" s="83"/>
      <c r="W844" s="83"/>
      <c r="X844" s="83"/>
      <c r="Y844" s="83"/>
      <c r="Z844" s="83"/>
      <c r="AA844" s="83"/>
    </row>
    <row r="845" ht="15.75" customHeight="1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3"/>
      <c r="N845" s="84"/>
      <c r="O845" s="84"/>
      <c r="P845" s="83"/>
      <c r="Q845" s="83"/>
      <c r="R845" s="83"/>
      <c r="S845" s="83"/>
      <c r="T845" s="83"/>
      <c r="U845" s="83"/>
      <c r="V845" s="83"/>
      <c r="W845" s="83"/>
      <c r="X845" s="83"/>
      <c r="Y845" s="83"/>
      <c r="Z845" s="83"/>
      <c r="AA845" s="83"/>
    </row>
    <row r="846" ht="15.75" customHeight="1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3"/>
      <c r="N846" s="84"/>
      <c r="O846" s="84"/>
      <c r="P846" s="83"/>
      <c r="Q846" s="83"/>
      <c r="R846" s="83"/>
      <c r="S846" s="83"/>
      <c r="T846" s="83"/>
      <c r="U846" s="83"/>
      <c r="V846" s="83"/>
      <c r="W846" s="83"/>
      <c r="X846" s="83"/>
      <c r="Y846" s="83"/>
      <c r="Z846" s="83"/>
      <c r="AA846" s="83"/>
    </row>
    <row r="847" ht="15.75" customHeight="1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3"/>
      <c r="N847" s="84"/>
      <c r="O847" s="84"/>
      <c r="P847" s="83"/>
      <c r="Q847" s="83"/>
      <c r="R847" s="83"/>
      <c r="S847" s="83"/>
      <c r="T847" s="83"/>
      <c r="U847" s="83"/>
      <c r="V847" s="83"/>
      <c r="W847" s="83"/>
      <c r="X847" s="83"/>
      <c r="Y847" s="83"/>
      <c r="Z847" s="83"/>
      <c r="AA847" s="83"/>
    </row>
    <row r="848" ht="15.75" customHeight="1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3"/>
      <c r="N848" s="84"/>
      <c r="O848" s="84"/>
      <c r="P848" s="83"/>
      <c r="Q848" s="83"/>
      <c r="R848" s="83"/>
      <c r="S848" s="83"/>
      <c r="T848" s="83"/>
      <c r="U848" s="83"/>
      <c r="V848" s="83"/>
      <c r="W848" s="83"/>
      <c r="X848" s="83"/>
      <c r="Y848" s="83"/>
      <c r="Z848" s="83"/>
      <c r="AA848" s="83"/>
    </row>
    <row r="849" ht="15.75" customHeight="1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3"/>
      <c r="N849" s="84"/>
      <c r="O849" s="84"/>
      <c r="P849" s="83"/>
      <c r="Q849" s="83"/>
      <c r="R849" s="83"/>
      <c r="S849" s="83"/>
      <c r="T849" s="83"/>
      <c r="U849" s="83"/>
      <c r="V849" s="83"/>
      <c r="W849" s="83"/>
      <c r="X849" s="83"/>
      <c r="Y849" s="83"/>
      <c r="Z849" s="83"/>
      <c r="AA849" s="83"/>
    </row>
    <row r="850" ht="15.75" customHeight="1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3"/>
      <c r="N850" s="84"/>
      <c r="O850" s="84"/>
      <c r="P850" s="83"/>
      <c r="Q850" s="83"/>
      <c r="R850" s="83"/>
      <c r="S850" s="83"/>
      <c r="T850" s="83"/>
      <c r="U850" s="83"/>
      <c r="V850" s="83"/>
      <c r="W850" s="83"/>
      <c r="X850" s="83"/>
      <c r="Y850" s="83"/>
      <c r="Z850" s="83"/>
      <c r="AA850" s="83"/>
    </row>
    <row r="851" ht="15.75" customHeight="1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3"/>
      <c r="N851" s="84"/>
      <c r="O851" s="84"/>
      <c r="P851" s="83"/>
      <c r="Q851" s="83"/>
      <c r="R851" s="83"/>
      <c r="S851" s="83"/>
      <c r="T851" s="83"/>
      <c r="U851" s="83"/>
      <c r="V851" s="83"/>
      <c r="W851" s="83"/>
      <c r="X851" s="83"/>
      <c r="Y851" s="83"/>
      <c r="Z851" s="83"/>
      <c r="AA851" s="83"/>
    </row>
    <row r="852" ht="15.75" customHeight="1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3"/>
      <c r="N852" s="84"/>
      <c r="O852" s="84"/>
      <c r="P852" s="83"/>
      <c r="Q852" s="83"/>
      <c r="R852" s="83"/>
      <c r="S852" s="83"/>
      <c r="T852" s="83"/>
      <c r="U852" s="83"/>
      <c r="V852" s="83"/>
      <c r="W852" s="83"/>
      <c r="X852" s="83"/>
      <c r="Y852" s="83"/>
      <c r="Z852" s="83"/>
      <c r="AA852" s="83"/>
    </row>
    <row r="853" ht="15.75" customHeight="1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3"/>
      <c r="N853" s="84"/>
      <c r="O853" s="84"/>
      <c r="P853" s="83"/>
      <c r="Q853" s="83"/>
      <c r="R853" s="83"/>
      <c r="S853" s="83"/>
      <c r="T853" s="83"/>
      <c r="U853" s="83"/>
      <c r="V853" s="83"/>
      <c r="W853" s="83"/>
      <c r="X853" s="83"/>
      <c r="Y853" s="83"/>
      <c r="Z853" s="83"/>
      <c r="AA853" s="83"/>
    </row>
    <row r="854" ht="15.75" customHeight="1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3"/>
      <c r="N854" s="84"/>
      <c r="O854" s="84"/>
      <c r="P854" s="83"/>
      <c r="Q854" s="83"/>
      <c r="R854" s="83"/>
      <c r="S854" s="83"/>
      <c r="T854" s="83"/>
      <c r="U854" s="83"/>
      <c r="V854" s="83"/>
      <c r="W854" s="83"/>
      <c r="X854" s="83"/>
      <c r="Y854" s="83"/>
      <c r="Z854" s="83"/>
      <c r="AA854" s="83"/>
    </row>
    <row r="855" ht="15.75" customHeight="1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3"/>
      <c r="N855" s="84"/>
      <c r="O855" s="84"/>
      <c r="P855" s="83"/>
      <c r="Q855" s="83"/>
      <c r="R855" s="83"/>
      <c r="S855" s="83"/>
      <c r="T855" s="83"/>
      <c r="U855" s="83"/>
      <c r="V855" s="83"/>
      <c r="W855" s="83"/>
      <c r="X855" s="83"/>
      <c r="Y855" s="83"/>
      <c r="Z855" s="83"/>
      <c r="AA855" s="83"/>
    </row>
    <row r="856" ht="15.75" customHeight="1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3"/>
      <c r="N856" s="84"/>
      <c r="O856" s="84"/>
      <c r="P856" s="83"/>
      <c r="Q856" s="83"/>
      <c r="R856" s="83"/>
      <c r="S856" s="83"/>
      <c r="T856" s="83"/>
      <c r="U856" s="83"/>
      <c r="V856" s="83"/>
      <c r="W856" s="83"/>
      <c r="X856" s="83"/>
      <c r="Y856" s="83"/>
      <c r="Z856" s="83"/>
      <c r="AA856" s="83"/>
    </row>
    <row r="857" ht="15.75" customHeight="1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3"/>
      <c r="N857" s="84"/>
      <c r="O857" s="84"/>
      <c r="P857" s="83"/>
      <c r="Q857" s="83"/>
      <c r="R857" s="83"/>
      <c r="S857" s="83"/>
      <c r="T857" s="83"/>
      <c r="U857" s="83"/>
      <c r="V857" s="83"/>
      <c r="W857" s="83"/>
      <c r="X857" s="83"/>
      <c r="Y857" s="83"/>
      <c r="Z857" s="83"/>
      <c r="AA857" s="83"/>
    </row>
    <row r="858" ht="15.75" customHeight="1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3"/>
      <c r="N858" s="84"/>
      <c r="O858" s="84"/>
      <c r="P858" s="83"/>
      <c r="Q858" s="83"/>
      <c r="R858" s="83"/>
      <c r="S858" s="83"/>
      <c r="T858" s="83"/>
      <c r="U858" s="83"/>
      <c r="V858" s="83"/>
      <c r="W858" s="83"/>
      <c r="X858" s="83"/>
      <c r="Y858" s="83"/>
      <c r="Z858" s="83"/>
      <c r="AA858" s="83"/>
    </row>
    <row r="859" ht="15.75" customHeight="1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3"/>
      <c r="N859" s="84"/>
      <c r="O859" s="84"/>
      <c r="P859" s="83"/>
      <c r="Q859" s="83"/>
      <c r="R859" s="83"/>
      <c r="S859" s="83"/>
      <c r="T859" s="83"/>
      <c r="U859" s="83"/>
      <c r="V859" s="83"/>
      <c r="W859" s="83"/>
      <c r="X859" s="83"/>
      <c r="Y859" s="83"/>
      <c r="Z859" s="83"/>
      <c r="AA859" s="83"/>
    </row>
    <row r="860" ht="15.75" customHeight="1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3"/>
      <c r="N860" s="84"/>
      <c r="O860" s="84"/>
      <c r="P860" s="83"/>
      <c r="Q860" s="83"/>
      <c r="R860" s="83"/>
      <c r="S860" s="83"/>
      <c r="T860" s="83"/>
      <c r="U860" s="83"/>
      <c r="V860" s="83"/>
      <c r="W860" s="83"/>
      <c r="X860" s="83"/>
      <c r="Y860" s="83"/>
      <c r="Z860" s="83"/>
      <c r="AA860" s="83"/>
    </row>
    <row r="861" ht="15.75" customHeight="1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3"/>
      <c r="N861" s="84"/>
      <c r="O861" s="84"/>
      <c r="P861" s="83"/>
      <c r="Q861" s="83"/>
      <c r="R861" s="83"/>
      <c r="S861" s="83"/>
      <c r="T861" s="83"/>
      <c r="U861" s="83"/>
      <c r="V861" s="83"/>
      <c r="W861" s="83"/>
      <c r="X861" s="83"/>
      <c r="Y861" s="83"/>
      <c r="Z861" s="83"/>
      <c r="AA861" s="83"/>
    </row>
    <row r="862" ht="15.75" customHeight="1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3"/>
      <c r="N862" s="84"/>
      <c r="O862" s="84"/>
      <c r="P862" s="83"/>
      <c r="Q862" s="83"/>
      <c r="R862" s="83"/>
      <c r="S862" s="83"/>
      <c r="T862" s="83"/>
      <c r="U862" s="83"/>
      <c r="V862" s="83"/>
      <c r="W862" s="83"/>
      <c r="X862" s="83"/>
      <c r="Y862" s="83"/>
      <c r="Z862" s="83"/>
      <c r="AA862" s="83"/>
    </row>
    <row r="863" ht="15.75" customHeight="1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3"/>
      <c r="N863" s="84"/>
      <c r="O863" s="84"/>
      <c r="P863" s="83"/>
      <c r="Q863" s="83"/>
      <c r="R863" s="83"/>
      <c r="S863" s="83"/>
      <c r="T863" s="83"/>
      <c r="U863" s="83"/>
      <c r="V863" s="83"/>
      <c r="W863" s="83"/>
      <c r="X863" s="83"/>
      <c r="Y863" s="83"/>
      <c r="Z863" s="83"/>
      <c r="AA863" s="83"/>
    </row>
    <row r="864" ht="15.75" customHeight="1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3"/>
      <c r="N864" s="84"/>
      <c r="O864" s="84"/>
      <c r="P864" s="83"/>
      <c r="Q864" s="83"/>
      <c r="R864" s="83"/>
      <c r="S864" s="83"/>
      <c r="T864" s="83"/>
      <c r="U864" s="83"/>
      <c r="V864" s="83"/>
      <c r="W864" s="83"/>
      <c r="X864" s="83"/>
      <c r="Y864" s="83"/>
      <c r="Z864" s="83"/>
      <c r="AA864" s="83"/>
    </row>
    <row r="865" ht="15.75" customHeight="1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3"/>
      <c r="N865" s="84"/>
      <c r="O865" s="84"/>
      <c r="P865" s="83"/>
      <c r="Q865" s="83"/>
      <c r="R865" s="83"/>
      <c r="S865" s="83"/>
      <c r="T865" s="83"/>
      <c r="U865" s="83"/>
      <c r="V865" s="83"/>
      <c r="W865" s="83"/>
      <c r="X865" s="83"/>
      <c r="Y865" s="83"/>
      <c r="Z865" s="83"/>
      <c r="AA865" s="83"/>
    </row>
    <row r="866" ht="15.75" customHeight="1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3"/>
      <c r="N866" s="84"/>
      <c r="O866" s="84"/>
      <c r="P866" s="83"/>
      <c r="Q866" s="83"/>
      <c r="R866" s="83"/>
      <c r="S866" s="83"/>
      <c r="T866" s="83"/>
      <c r="U866" s="83"/>
      <c r="V866" s="83"/>
      <c r="W866" s="83"/>
      <c r="X866" s="83"/>
      <c r="Y866" s="83"/>
      <c r="Z866" s="83"/>
      <c r="AA866" s="83"/>
    </row>
    <row r="867" ht="15.75" customHeight="1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3"/>
      <c r="N867" s="84"/>
      <c r="O867" s="84"/>
      <c r="P867" s="83"/>
      <c r="Q867" s="83"/>
      <c r="R867" s="83"/>
      <c r="S867" s="83"/>
      <c r="T867" s="83"/>
      <c r="U867" s="83"/>
      <c r="V867" s="83"/>
      <c r="W867" s="83"/>
      <c r="X867" s="83"/>
      <c r="Y867" s="83"/>
      <c r="Z867" s="83"/>
      <c r="AA867" s="83"/>
    </row>
    <row r="868" ht="15.75" customHeight="1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3"/>
      <c r="N868" s="84"/>
      <c r="O868" s="84"/>
      <c r="P868" s="83"/>
      <c r="Q868" s="83"/>
      <c r="R868" s="83"/>
      <c r="S868" s="83"/>
      <c r="T868" s="83"/>
      <c r="U868" s="83"/>
      <c r="V868" s="83"/>
      <c r="W868" s="83"/>
      <c r="X868" s="83"/>
      <c r="Y868" s="83"/>
      <c r="Z868" s="83"/>
      <c r="AA868" s="83"/>
    </row>
    <row r="869" ht="15.75" customHeight="1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3"/>
      <c r="N869" s="84"/>
      <c r="O869" s="84"/>
      <c r="P869" s="83"/>
      <c r="Q869" s="83"/>
      <c r="R869" s="83"/>
      <c r="S869" s="83"/>
      <c r="T869" s="83"/>
      <c r="U869" s="83"/>
      <c r="V869" s="83"/>
      <c r="W869" s="83"/>
      <c r="X869" s="83"/>
      <c r="Y869" s="83"/>
      <c r="Z869" s="83"/>
      <c r="AA869" s="83"/>
    </row>
    <row r="870" ht="15.75" customHeight="1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3"/>
      <c r="N870" s="84"/>
      <c r="O870" s="84"/>
      <c r="P870" s="83"/>
      <c r="Q870" s="83"/>
      <c r="R870" s="83"/>
      <c r="S870" s="83"/>
      <c r="T870" s="83"/>
      <c r="U870" s="83"/>
      <c r="V870" s="83"/>
      <c r="W870" s="83"/>
      <c r="X870" s="83"/>
      <c r="Y870" s="83"/>
      <c r="Z870" s="83"/>
      <c r="AA870" s="83"/>
    </row>
    <row r="871" ht="15.75" customHeight="1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3"/>
      <c r="N871" s="84"/>
      <c r="O871" s="84"/>
      <c r="P871" s="83"/>
      <c r="Q871" s="83"/>
      <c r="R871" s="83"/>
      <c r="S871" s="83"/>
      <c r="T871" s="83"/>
      <c r="U871" s="83"/>
      <c r="V871" s="83"/>
      <c r="W871" s="83"/>
      <c r="X871" s="83"/>
      <c r="Y871" s="83"/>
      <c r="Z871" s="83"/>
      <c r="AA871" s="83"/>
    </row>
    <row r="872" ht="15.75" customHeight="1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3"/>
      <c r="N872" s="84"/>
      <c r="O872" s="84"/>
      <c r="P872" s="83"/>
      <c r="Q872" s="83"/>
      <c r="R872" s="83"/>
      <c r="S872" s="83"/>
      <c r="T872" s="83"/>
      <c r="U872" s="83"/>
      <c r="V872" s="83"/>
      <c r="W872" s="83"/>
      <c r="X872" s="83"/>
      <c r="Y872" s="83"/>
      <c r="Z872" s="83"/>
      <c r="AA872" s="83"/>
    </row>
    <row r="873" ht="15.75" customHeight="1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3"/>
      <c r="N873" s="84"/>
      <c r="O873" s="84"/>
      <c r="P873" s="83"/>
      <c r="Q873" s="83"/>
      <c r="R873" s="83"/>
      <c r="S873" s="83"/>
      <c r="T873" s="83"/>
      <c r="U873" s="83"/>
      <c r="V873" s="83"/>
      <c r="W873" s="83"/>
      <c r="X873" s="83"/>
      <c r="Y873" s="83"/>
      <c r="Z873" s="83"/>
      <c r="AA873" s="83"/>
    </row>
    <row r="874" ht="15.75" customHeight="1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3"/>
      <c r="N874" s="84"/>
      <c r="O874" s="84"/>
      <c r="P874" s="83"/>
      <c r="Q874" s="83"/>
      <c r="R874" s="83"/>
      <c r="S874" s="83"/>
      <c r="T874" s="83"/>
      <c r="U874" s="83"/>
      <c r="V874" s="83"/>
      <c r="W874" s="83"/>
      <c r="X874" s="83"/>
      <c r="Y874" s="83"/>
      <c r="Z874" s="83"/>
      <c r="AA874" s="83"/>
    </row>
    <row r="875" ht="15.75" customHeight="1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3"/>
      <c r="N875" s="84"/>
      <c r="O875" s="84"/>
      <c r="P875" s="83"/>
      <c r="Q875" s="83"/>
      <c r="R875" s="83"/>
      <c r="S875" s="83"/>
      <c r="T875" s="83"/>
      <c r="U875" s="83"/>
      <c r="V875" s="83"/>
      <c r="W875" s="83"/>
      <c r="X875" s="83"/>
      <c r="Y875" s="83"/>
      <c r="Z875" s="83"/>
      <c r="AA875" s="83"/>
    </row>
    <row r="876" ht="15.75" customHeight="1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3"/>
      <c r="N876" s="84"/>
      <c r="O876" s="84"/>
      <c r="P876" s="83"/>
      <c r="Q876" s="83"/>
      <c r="R876" s="83"/>
      <c r="S876" s="83"/>
      <c r="T876" s="83"/>
      <c r="U876" s="83"/>
      <c r="V876" s="83"/>
      <c r="W876" s="83"/>
      <c r="X876" s="83"/>
      <c r="Y876" s="83"/>
      <c r="Z876" s="83"/>
      <c r="AA876" s="83"/>
    </row>
    <row r="877" ht="15.75" customHeight="1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3"/>
      <c r="N877" s="84"/>
      <c r="O877" s="84"/>
      <c r="P877" s="83"/>
      <c r="Q877" s="83"/>
      <c r="R877" s="83"/>
      <c r="S877" s="83"/>
      <c r="T877" s="83"/>
      <c r="U877" s="83"/>
      <c r="V877" s="83"/>
      <c r="W877" s="83"/>
      <c r="X877" s="83"/>
      <c r="Y877" s="83"/>
      <c r="Z877" s="83"/>
      <c r="AA877" s="83"/>
    </row>
    <row r="878" ht="15.75" customHeight="1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3"/>
      <c r="N878" s="84"/>
      <c r="O878" s="84"/>
      <c r="P878" s="83"/>
      <c r="Q878" s="83"/>
      <c r="R878" s="83"/>
      <c r="S878" s="83"/>
      <c r="T878" s="83"/>
      <c r="U878" s="83"/>
      <c r="V878" s="83"/>
      <c r="W878" s="83"/>
      <c r="X878" s="83"/>
      <c r="Y878" s="83"/>
      <c r="Z878" s="83"/>
      <c r="AA878" s="83"/>
    </row>
    <row r="879" ht="15.75" customHeight="1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3"/>
      <c r="N879" s="84"/>
      <c r="O879" s="84"/>
      <c r="P879" s="83"/>
      <c r="Q879" s="83"/>
      <c r="R879" s="83"/>
      <c r="S879" s="83"/>
      <c r="T879" s="83"/>
      <c r="U879" s="83"/>
      <c r="V879" s="83"/>
      <c r="W879" s="83"/>
      <c r="X879" s="83"/>
      <c r="Y879" s="83"/>
      <c r="Z879" s="83"/>
      <c r="AA879" s="83"/>
    </row>
    <row r="880" ht="15.75" customHeight="1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3"/>
      <c r="N880" s="84"/>
      <c r="O880" s="84"/>
      <c r="P880" s="83"/>
      <c r="Q880" s="83"/>
      <c r="R880" s="83"/>
      <c r="S880" s="83"/>
      <c r="T880" s="83"/>
      <c r="U880" s="83"/>
      <c r="V880" s="83"/>
      <c r="W880" s="83"/>
      <c r="X880" s="83"/>
      <c r="Y880" s="83"/>
      <c r="Z880" s="83"/>
      <c r="AA880" s="83"/>
    </row>
    <row r="881" ht="15.75" customHeight="1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3"/>
      <c r="N881" s="84"/>
      <c r="O881" s="84"/>
      <c r="P881" s="83"/>
      <c r="Q881" s="83"/>
      <c r="R881" s="83"/>
      <c r="S881" s="83"/>
      <c r="T881" s="83"/>
      <c r="U881" s="83"/>
      <c r="V881" s="83"/>
      <c r="W881" s="83"/>
      <c r="X881" s="83"/>
      <c r="Y881" s="83"/>
      <c r="Z881" s="83"/>
      <c r="AA881" s="83"/>
    </row>
    <row r="882" ht="15.75" customHeight="1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3"/>
      <c r="N882" s="84"/>
      <c r="O882" s="84"/>
      <c r="P882" s="83"/>
      <c r="Q882" s="83"/>
      <c r="R882" s="83"/>
      <c r="S882" s="83"/>
      <c r="T882" s="83"/>
      <c r="U882" s="83"/>
      <c r="V882" s="83"/>
      <c r="W882" s="83"/>
      <c r="X882" s="83"/>
      <c r="Y882" s="83"/>
      <c r="Z882" s="83"/>
      <c r="AA882" s="83"/>
    </row>
    <row r="883" ht="15.75" customHeight="1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3"/>
      <c r="N883" s="84"/>
      <c r="O883" s="84"/>
      <c r="P883" s="83"/>
      <c r="Q883" s="83"/>
      <c r="R883" s="83"/>
      <c r="S883" s="83"/>
      <c r="T883" s="83"/>
      <c r="U883" s="83"/>
      <c r="V883" s="83"/>
      <c r="W883" s="83"/>
      <c r="X883" s="83"/>
      <c r="Y883" s="83"/>
      <c r="Z883" s="83"/>
      <c r="AA883" s="83"/>
    </row>
    <row r="884" ht="15.75" customHeight="1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3"/>
      <c r="N884" s="84"/>
      <c r="O884" s="84"/>
      <c r="P884" s="83"/>
      <c r="Q884" s="83"/>
      <c r="R884" s="83"/>
      <c r="S884" s="83"/>
      <c r="T884" s="83"/>
      <c r="U884" s="83"/>
      <c r="V884" s="83"/>
      <c r="W884" s="83"/>
      <c r="X884" s="83"/>
      <c r="Y884" s="83"/>
      <c r="Z884" s="83"/>
      <c r="AA884" s="83"/>
    </row>
    <row r="885" ht="15.75" customHeight="1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3"/>
      <c r="N885" s="84"/>
      <c r="O885" s="84"/>
      <c r="P885" s="83"/>
      <c r="Q885" s="83"/>
      <c r="R885" s="83"/>
      <c r="S885" s="83"/>
      <c r="T885" s="83"/>
      <c r="U885" s="83"/>
      <c r="V885" s="83"/>
      <c r="W885" s="83"/>
      <c r="X885" s="83"/>
      <c r="Y885" s="83"/>
      <c r="Z885" s="83"/>
      <c r="AA885" s="83"/>
    </row>
    <row r="886" ht="15.75" customHeight="1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3"/>
      <c r="N886" s="84"/>
      <c r="O886" s="84"/>
      <c r="P886" s="83"/>
      <c r="Q886" s="83"/>
      <c r="R886" s="83"/>
      <c r="S886" s="83"/>
      <c r="T886" s="83"/>
      <c r="U886" s="83"/>
      <c r="V886" s="83"/>
      <c r="W886" s="83"/>
      <c r="X886" s="83"/>
      <c r="Y886" s="83"/>
      <c r="Z886" s="83"/>
      <c r="AA886" s="83"/>
    </row>
    <row r="887" ht="15.75" customHeight="1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3"/>
      <c r="N887" s="84"/>
      <c r="O887" s="84"/>
      <c r="P887" s="83"/>
      <c r="Q887" s="83"/>
      <c r="R887" s="83"/>
      <c r="S887" s="83"/>
      <c r="T887" s="83"/>
      <c r="U887" s="83"/>
      <c r="V887" s="83"/>
      <c r="W887" s="83"/>
      <c r="X887" s="83"/>
      <c r="Y887" s="83"/>
      <c r="Z887" s="83"/>
      <c r="AA887" s="83"/>
    </row>
    <row r="888" ht="15.75" customHeight="1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3"/>
      <c r="N888" s="84"/>
      <c r="O888" s="84"/>
      <c r="P888" s="83"/>
      <c r="Q888" s="83"/>
      <c r="R888" s="83"/>
      <c r="S888" s="83"/>
      <c r="T888" s="83"/>
      <c r="U888" s="83"/>
      <c r="V888" s="83"/>
      <c r="W888" s="83"/>
      <c r="X888" s="83"/>
      <c r="Y888" s="83"/>
      <c r="Z888" s="83"/>
      <c r="AA888" s="83"/>
    </row>
    <row r="889" ht="15.75" customHeight="1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3"/>
      <c r="N889" s="84"/>
      <c r="O889" s="84"/>
      <c r="P889" s="83"/>
      <c r="Q889" s="83"/>
      <c r="R889" s="83"/>
      <c r="S889" s="83"/>
      <c r="T889" s="83"/>
      <c r="U889" s="83"/>
      <c r="V889" s="83"/>
      <c r="W889" s="83"/>
      <c r="X889" s="83"/>
      <c r="Y889" s="83"/>
      <c r="Z889" s="83"/>
      <c r="AA889" s="83"/>
    </row>
    <row r="890" ht="15.75" customHeight="1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3"/>
      <c r="N890" s="84"/>
      <c r="O890" s="84"/>
      <c r="P890" s="83"/>
      <c r="Q890" s="83"/>
      <c r="R890" s="83"/>
      <c r="S890" s="83"/>
      <c r="T890" s="83"/>
      <c r="U890" s="83"/>
      <c r="V890" s="83"/>
      <c r="W890" s="83"/>
      <c r="X890" s="83"/>
      <c r="Y890" s="83"/>
      <c r="Z890" s="83"/>
      <c r="AA890" s="83"/>
    </row>
    <row r="891" ht="15.75" customHeight="1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3"/>
      <c r="N891" s="84"/>
      <c r="O891" s="84"/>
      <c r="P891" s="83"/>
      <c r="Q891" s="83"/>
      <c r="R891" s="83"/>
      <c r="S891" s="83"/>
      <c r="T891" s="83"/>
      <c r="U891" s="83"/>
      <c r="V891" s="83"/>
      <c r="W891" s="83"/>
      <c r="X891" s="83"/>
      <c r="Y891" s="83"/>
      <c r="Z891" s="83"/>
      <c r="AA891" s="83"/>
    </row>
    <row r="892" ht="15.75" customHeight="1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3"/>
      <c r="N892" s="84"/>
      <c r="O892" s="84"/>
      <c r="P892" s="83"/>
      <c r="Q892" s="83"/>
      <c r="R892" s="83"/>
      <c r="S892" s="83"/>
      <c r="T892" s="83"/>
      <c r="U892" s="83"/>
      <c r="V892" s="83"/>
      <c r="W892" s="83"/>
      <c r="X892" s="83"/>
      <c r="Y892" s="83"/>
      <c r="Z892" s="83"/>
      <c r="AA892" s="83"/>
    </row>
    <row r="893" ht="15.75" customHeight="1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3"/>
      <c r="N893" s="84"/>
      <c r="O893" s="84"/>
      <c r="P893" s="83"/>
      <c r="Q893" s="83"/>
      <c r="R893" s="83"/>
      <c r="S893" s="83"/>
      <c r="T893" s="83"/>
      <c r="U893" s="83"/>
      <c r="V893" s="83"/>
      <c r="W893" s="83"/>
      <c r="X893" s="83"/>
      <c r="Y893" s="83"/>
      <c r="Z893" s="83"/>
      <c r="AA893" s="83"/>
    </row>
    <row r="894" ht="15.75" customHeight="1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3"/>
      <c r="N894" s="84"/>
      <c r="O894" s="84"/>
      <c r="P894" s="83"/>
      <c r="Q894" s="83"/>
      <c r="R894" s="83"/>
      <c r="S894" s="83"/>
      <c r="T894" s="83"/>
      <c r="U894" s="83"/>
      <c r="V894" s="83"/>
      <c r="W894" s="83"/>
      <c r="X894" s="83"/>
      <c r="Y894" s="83"/>
      <c r="Z894" s="83"/>
      <c r="AA894" s="83"/>
    </row>
    <row r="895" ht="15.75" customHeight="1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3"/>
      <c r="N895" s="84"/>
      <c r="O895" s="84"/>
      <c r="P895" s="83"/>
      <c r="Q895" s="83"/>
      <c r="R895" s="83"/>
      <c r="S895" s="83"/>
      <c r="T895" s="83"/>
      <c r="U895" s="83"/>
      <c r="V895" s="83"/>
      <c r="W895" s="83"/>
      <c r="X895" s="83"/>
      <c r="Y895" s="83"/>
      <c r="Z895" s="83"/>
      <c r="AA895" s="83"/>
    </row>
    <row r="896" ht="15.75" customHeight="1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3"/>
      <c r="N896" s="84"/>
      <c r="O896" s="84"/>
      <c r="P896" s="83"/>
      <c r="Q896" s="83"/>
      <c r="R896" s="83"/>
      <c r="S896" s="83"/>
      <c r="T896" s="83"/>
      <c r="U896" s="83"/>
      <c r="V896" s="83"/>
      <c r="W896" s="83"/>
      <c r="X896" s="83"/>
      <c r="Y896" s="83"/>
      <c r="Z896" s="83"/>
      <c r="AA896" s="83"/>
    </row>
    <row r="897" ht="15.75" customHeight="1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3"/>
      <c r="N897" s="84"/>
      <c r="O897" s="84"/>
      <c r="P897" s="83"/>
      <c r="Q897" s="83"/>
      <c r="R897" s="83"/>
      <c r="S897" s="83"/>
      <c r="T897" s="83"/>
      <c r="U897" s="83"/>
      <c r="V897" s="83"/>
      <c r="W897" s="83"/>
      <c r="X897" s="83"/>
      <c r="Y897" s="83"/>
      <c r="Z897" s="83"/>
      <c r="AA897" s="83"/>
    </row>
    <row r="898" ht="15.75" customHeight="1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3"/>
      <c r="N898" s="84"/>
      <c r="O898" s="84"/>
      <c r="P898" s="83"/>
      <c r="Q898" s="83"/>
      <c r="R898" s="83"/>
      <c r="S898" s="83"/>
      <c r="T898" s="83"/>
      <c r="U898" s="83"/>
      <c r="V898" s="83"/>
      <c r="W898" s="83"/>
      <c r="X898" s="83"/>
      <c r="Y898" s="83"/>
      <c r="Z898" s="83"/>
      <c r="AA898" s="83"/>
    </row>
    <row r="899" ht="15.75" customHeight="1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3"/>
      <c r="N899" s="84"/>
      <c r="O899" s="84"/>
      <c r="P899" s="83"/>
      <c r="Q899" s="83"/>
      <c r="R899" s="83"/>
      <c r="S899" s="83"/>
      <c r="T899" s="83"/>
      <c r="U899" s="83"/>
      <c r="V899" s="83"/>
      <c r="W899" s="83"/>
      <c r="X899" s="83"/>
      <c r="Y899" s="83"/>
      <c r="Z899" s="83"/>
      <c r="AA899" s="83"/>
    </row>
    <row r="900" ht="15.75" customHeight="1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3"/>
      <c r="N900" s="84"/>
      <c r="O900" s="84"/>
      <c r="P900" s="83"/>
      <c r="Q900" s="83"/>
      <c r="R900" s="83"/>
      <c r="S900" s="83"/>
      <c r="T900" s="83"/>
      <c r="U900" s="83"/>
      <c r="V900" s="83"/>
      <c r="W900" s="83"/>
      <c r="X900" s="83"/>
      <c r="Y900" s="83"/>
      <c r="Z900" s="83"/>
      <c r="AA900" s="83"/>
    </row>
    <row r="901" ht="15.75" customHeight="1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3"/>
      <c r="N901" s="84"/>
      <c r="O901" s="84"/>
      <c r="P901" s="83"/>
      <c r="Q901" s="83"/>
      <c r="R901" s="83"/>
      <c r="S901" s="83"/>
      <c r="T901" s="83"/>
      <c r="U901" s="83"/>
      <c r="V901" s="83"/>
      <c r="W901" s="83"/>
      <c r="X901" s="83"/>
      <c r="Y901" s="83"/>
      <c r="Z901" s="83"/>
      <c r="AA901" s="83"/>
    </row>
    <row r="902" ht="15.75" customHeight="1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3"/>
      <c r="N902" s="84"/>
      <c r="O902" s="84"/>
      <c r="P902" s="83"/>
      <c r="Q902" s="83"/>
      <c r="R902" s="83"/>
      <c r="S902" s="83"/>
      <c r="T902" s="83"/>
      <c r="U902" s="83"/>
      <c r="V902" s="83"/>
      <c r="W902" s="83"/>
      <c r="X902" s="83"/>
      <c r="Y902" s="83"/>
      <c r="Z902" s="83"/>
      <c r="AA902" s="83"/>
    </row>
    <row r="903" ht="15.75" customHeight="1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3"/>
      <c r="N903" s="84"/>
      <c r="O903" s="84"/>
      <c r="P903" s="83"/>
      <c r="Q903" s="83"/>
      <c r="R903" s="83"/>
      <c r="S903" s="83"/>
      <c r="T903" s="83"/>
      <c r="U903" s="83"/>
      <c r="V903" s="83"/>
      <c r="W903" s="83"/>
      <c r="X903" s="83"/>
      <c r="Y903" s="83"/>
      <c r="Z903" s="83"/>
      <c r="AA903" s="83"/>
    </row>
    <row r="904" ht="15.75" customHeight="1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3"/>
      <c r="N904" s="84"/>
      <c r="O904" s="84"/>
      <c r="P904" s="83"/>
      <c r="Q904" s="83"/>
      <c r="R904" s="83"/>
      <c r="S904" s="83"/>
      <c r="T904" s="83"/>
      <c r="U904" s="83"/>
      <c r="V904" s="83"/>
      <c r="W904" s="83"/>
      <c r="X904" s="83"/>
      <c r="Y904" s="83"/>
      <c r="Z904" s="83"/>
      <c r="AA904" s="83"/>
    </row>
    <row r="905" ht="15.75" customHeight="1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3"/>
      <c r="N905" s="84"/>
      <c r="O905" s="84"/>
      <c r="P905" s="83"/>
      <c r="Q905" s="83"/>
      <c r="R905" s="83"/>
      <c r="S905" s="83"/>
      <c r="T905" s="83"/>
      <c r="U905" s="83"/>
      <c r="V905" s="83"/>
      <c r="W905" s="83"/>
      <c r="X905" s="83"/>
      <c r="Y905" s="83"/>
      <c r="Z905" s="83"/>
      <c r="AA905" s="83"/>
    </row>
    <row r="906" ht="15.75" customHeight="1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3"/>
      <c r="N906" s="84"/>
      <c r="O906" s="84"/>
      <c r="P906" s="83"/>
      <c r="Q906" s="83"/>
      <c r="R906" s="83"/>
      <c r="S906" s="83"/>
      <c r="T906" s="83"/>
      <c r="U906" s="83"/>
      <c r="V906" s="83"/>
      <c r="W906" s="83"/>
      <c r="X906" s="83"/>
      <c r="Y906" s="83"/>
      <c r="Z906" s="83"/>
      <c r="AA906" s="83"/>
    </row>
    <row r="907" ht="15.75" customHeight="1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3"/>
      <c r="N907" s="84"/>
      <c r="O907" s="84"/>
      <c r="P907" s="83"/>
      <c r="Q907" s="83"/>
      <c r="R907" s="83"/>
      <c r="S907" s="83"/>
      <c r="T907" s="83"/>
      <c r="U907" s="83"/>
      <c r="V907" s="83"/>
      <c r="W907" s="83"/>
      <c r="X907" s="83"/>
      <c r="Y907" s="83"/>
      <c r="Z907" s="83"/>
      <c r="AA907" s="83"/>
    </row>
    <row r="908" ht="15.75" customHeight="1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3"/>
      <c r="N908" s="84"/>
      <c r="O908" s="84"/>
      <c r="P908" s="83"/>
      <c r="Q908" s="83"/>
      <c r="R908" s="83"/>
      <c r="S908" s="83"/>
      <c r="T908" s="83"/>
      <c r="U908" s="83"/>
      <c r="V908" s="83"/>
      <c r="W908" s="83"/>
      <c r="X908" s="83"/>
      <c r="Y908" s="83"/>
      <c r="Z908" s="83"/>
      <c r="AA908" s="83"/>
    </row>
    <row r="909" ht="15.75" customHeight="1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3"/>
      <c r="N909" s="84"/>
      <c r="O909" s="84"/>
      <c r="P909" s="83"/>
      <c r="Q909" s="83"/>
      <c r="R909" s="83"/>
      <c r="S909" s="83"/>
      <c r="T909" s="83"/>
      <c r="U909" s="83"/>
      <c r="V909" s="83"/>
      <c r="W909" s="83"/>
      <c r="X909" s="83"/>
      <c r="Y909" s="83"/>
      <c r="Z909" s="83"/>
      <c r="AA909" s="83"/>
    </row>
    <row r="910" ht="15.75" customHeight="1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3"/>
      <c r="N910" s="84"/>
      <c r="O910" s="84"/>
      <c r="P910" s="83"/>
      <c r="Q910" s="83"/>
      <c r="R910" s="83"/>
      <c r="S910" s="83"/>
      <c r="T910" s="83"/>
      <c r="U910" s="83"/>
      <c r="V910" s="83"/>
      <c r="W910" s="83"/>
      <c r="X910" s="83"/>
      <c r="Y910" s="83"/>
      <c r="Z910" s="83"/>
      <c r="AA910" s="83"/>
    </row>
    <row r="911" ht="15.75" customHeight="1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3"/>
      <c r="N911" s="84"/>
      <c r="O911" s="84"/>
      <c r="P911" s="83"/>
      <c r="Q911" s="83"/>
      <c r="R911" s="83"/>
      <c r="S911" s="83"/>
      <c r="T911" s="83"/>
      <c r="U911" s="83"/>
      <c r="V911" s="83"/>
      <c r="W911" s="83"/>
      <c r="X911" s="83"/>
      <c r="Y911" s="83"/>
      <c r="Z911" s="83"/>
      <c r="AA911" s="83"/>
    </row>
    <row r="912" ht="15.75" customHeight="1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3"/>
      <c r="N912" s="84"/>
      <c r="O912" s="84"/>
      <c r="P912" s="83"/>
      <c r="Q912" s="83"/>
      <c r="R912" s="83"/>
      <c r="S912" s="83"/>
      <c r="T912" s="83"/>
      <c r="U912" s="83"/>
      <c r="V912" s="83"/>
      <c r="W912" s="83"/>
      <c r="X912" s="83"/>
      <c r="Y912" s="83"/>
      <c r="Z912" s="83"/>
      <c r="AA912" s="83"/>
    </row>
    <row r="913" ht="15.75" customHeight="1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3"/>
      <c r="N913" s="84"/>
      <c r="O913" s="84"/>
      <c r="P913" s="83"/>
      <c r="Q913" s="83"/>
      <c r="R913" s="83"/>
      <c r="S913" s="83"/>
      <c r="T913" s="83"/>
      <c r="U913" s="83"/>
      <c r="V913" s="83"/>
      <c r="W913" s="83"/>
      <c r="X913" s="83"/>
      <c r="Y913" s="83"/>
      <c r="Z913" s="83"/>
      <c r="AA913" s="83"/>
    </row>
    <row r="914" ht="15.75" customHeight="1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3"/>
      <c r="N914" s="84"/>
      <c r="O914" s="84"/>
      <c r="P914" s="83"/>
      <c r="Q914" s="83"/>
      <c r="R914" s="83"/>
      <c r="S914" s="83"/>
      <c r="T914" s="83"/>
      <c r="U914" s="83"/>
      <c r="V914" s="83"/>
      <c r="W914" s="83"/>
      <c r="X914" s="83"/>
      <c r="Y914" s="83"/>
      <c r="Z914" s="83"/>
      <c r="AA914" s="83"/>
    </row>
    <row r="915" ht="15.75" customHeight="1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3"/>
      <c r="N915" s="84"/>
      <c r="O915" s="84"/>
      <c r="P915" s="83"/>
      <c r="Q915" s="83"/>
      <c r="R915" s="83"/>
      <c r="S915" s="83"/>
      <c r="T915" s="83"/>
      <c r="U915" s="83"/>
      <c r="V915" s="83"/>
      <c r="W915" s="83"/>
      <c r="X915" s="83"/>
      <c r="Y915" s="83"/>
      <c r="Z915" s="83"/>
      <c r="AA915" s="83"/>
    </row>
    <row r="916" ht="15.75" customHeight="1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3"/>
      <c r="N916" s="84"/>
      <c r="O916" s="84"/>
      <c r="P916" s="83"/>
      <c r="Q916" s="83"/>
      <c r="R916" s="83"/>
      <c r="S916" s="83"/>
      <c r="T916" s="83"/>
      <c r="U916" s="83"/>
      <c r="V916" s="83"/>
      <c r="W916" s="83"/>
      <c r="X916" s="83"/>
      <c r="Y916" s="83"/>
      <c r="Z916" s="83"/>
      <c r="AA916" s="83"/>
    </row>
    <row r="917" ht="15.75" customHeight="1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3"/>
      <c r="N917" s="84"/>
      <c r="O917" s="84"/>
      <c r="P917" s="83"/>
      <c r="Q917" s="83"/>
      <c r="R917" s="83"/>
      <c r="S917" s="83"/>
      <c r="T917" s="83"/>
      <c r="U917" s="83"/>
      <c r="V917" s="83"/>
      <c r="W917" s="83"/>
      <c r="X917" s="83"/>
      <c r="Y917" s="83"/>
      <c r="Z917" s="83"/>
      <c r="AA917" s="83"/>
    </row>
    <row r="918" ht="15.75" customHeight="1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3"/>
      <c r="N918" s="84"/>
      <c r="O918" s="84"/>
      <c r="P918" s="83"/>
      <c r="Q918" s="83"/>
      <c r="R918" s="83"/>
      <c r="S918" s="83"/>
      <c r="T918" s="83"/>
      <c r="U918" s="83"/>
      <c r="V918" s="83"/>
      <c r="W918" s="83"/>
      <c r="X918" s="83"/>
      <c r="Y918" s="83"/>
      <c r="Z918" s="83"/>
      <c r="AA918" s="83"/>
    </row>
    <row r="919" ht="15.75" customHeight="1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3"/>
      <c r="N919" s="84"/>
      <c r="O919" s="84"/>
      <c r="P919" s="83"/>
      <c r="Q919" s="83"/>
      <c r="R919" s="83"/>
      <c r="S919" s="83"/>
      <c r="T919" s="83"/>
      <c r="U919" s="83"/>
      <c r="V919" s="83"/>
      <c r="W919" s="83"/>
      <c r="X919" s="83"/>
      <c r="Y919" s="83"/>
      <c r="Z919" s="83"/>
      <c r="AA919" s="83"/>
    </row>
    <row r="920" ht="15.75" customHeight="1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3"/>
      <c r="N920" s="84"/>
      <c r="O920" s="84"/>
      <c r="P920" s="83"/>
      <c r="Q920" s="83"/>
      <c r="R920" s="83"/>
      <c r="S920" s="83"/>
      <c r="T920" s="83"/>
      <c r="U920" s="83"/>
      <c r="V920" s="83"/>
      <c r="W920" s="83"/>
      <c r="X920" s="83"/>
      <c r="Y920" s="83"/>
      <c r="Z920" s="83"/>
      <c r="AA920" s="83"/>
    </row>
    <row r="921" ht="15.75" customHeight="1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3"/>
      <c r="N921" s="84"/>
      <c r="O921" s="84"/>
      <c r="P921" s="83"/>
      <c r="Q921" s="83"/>
      <c r="R921" s="83"/>
      <c r="S921" s="83"/>
      <c r="T921" s="83"/>
      <c r="U921" s="83"/>
      <c r="V921" s="83"/>
      <c r="W921" s="83"/>
      <c r="X921" s="83"/>
      <c r="Y921" s="83"/>
      <c r="Z921" s="83"/>
      <c r="AA921" s="83"/>
    </row>
    <row r="922" ht="15.75" customHeight="1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3"/>
      <c r="N922" s="84"/>
      <c r="O922" s="84"/>
      <c r="P922" s="83"/>
      <c r="Q922" s="83"/>
      <c r="R922" s="83"/>
      <c r="S922" s="83"/>
      <c r="T922" s="83"/>
      <c r="U922" s="83"/>
      <c r="V922" s="83"/>
      <c r="W922" s="83"/>
      <c r="X922" s="83"/>
      <c r="Y922" s="83"/>
      <c r="Z922" s="83"/>
      <c r="AA922" s="83"/>
    </row>
    <row r="923" ht="15.75" customHeight="1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3"/>
      <c r="N923" s="84"/>
      <c r="O923" s="84"/>
      <c r="P923" s="83"/>
      <c r="Q923" s="83"/>
      <c r="R923" s="83"/>
      <c r="S923" s="83"/>
      <c r="T923" s="83"/>
      <c r="U923" s="83"/>
      <c r="V923" s="83"/>
      <c r="W923" s="83"/>
      <c r="X923" s="83"/>
      <c r="Y923" s="83"/>
      <c r="Z923" s="83"/>
      <c r="AA923" s="83"/>
    </row>
    <row r="924" ht="15.75" customHeight="1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3"/>
      <c r="N924" s="84"/>
      <c r="O924" s="84"/>
      <c r="P924" s="83"/>
      <c r="Q924" s="83"/>
      <c r="R924" s="83"/>
      <c r="S924" s="83"/>
      <c r="T924" s="83"/>
      <c r="U924" s="83"/>
      <c r="V924" s="83"/>
      <c r="W924" s="83"/>
      <c r="X924" s="83"/>
      <c r="Y924" s="83"/>
      <c r="Z924" s="83"/>
      <c r="AA924" s="83"/>
    </row>
    <row r="925" ht="15.75" customHeight="1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3"/>
      <c r="N925" s="84"/>
      <c r="O925" s="84"/>
      <c r="P925" s="83"/>
      <c r="Q925" s="83"/>
      <c r="R925" s="83"/>
      <c r="S925" s="83"/>
      <c r="T925" s="83"/>
      <c r="U925" s="83"/>
      <c r="V925" s="83"/>
      <c r="W925" s="83"/>
      <c r="X925" s="83"/>
      <c r="Y925" s="83"/>
      <c r="Z925" s="83"/>
      <c r="AA925" s="83"/>
    </row>
    <row r="926" ht="15.75" customHeight="1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3"/>
      <c r="N926" s="84"/>
      <c r="O926" s="84"/>
      <c r="P926" s="83"/>
      <c r="Q926" s="83"/>
      <c r="R926" s="83"/>
      <c r="S926" s="83"/>
      <c r="T926" s="83"/>
      <c r="U926" s="83"/>
      <c r="V926" s="83"/>
      <c r="W926" s="83"/>
      <c r="X926" s="83"/>
      <c r="Y926" s="83"/>
      <c r="Z926" s="83"/>
      <c r="AA926" s="83"/>
    </row>
    <row r="927" ht="15.75" customHeight="1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3"/>
      <c r="N927" s="84"/>
      <c r="O927" s="84"/>
      <c r="P927" s="83"/>
      <c r="Q927" s="83"/>
      <c r="R927" s="83"/>
      <c r="S927" s="83"/>
      <c r="T927" s="83"/>
      <c r="U927" s="83"/>
      <c r="V927" s="83"/>
      <c r="W927" s="83"/>
      <c r="X927" s="83"/>
      <c r="Y927" s="83"/>
      <c r="Z927" s="83"/>
      <c r="AA927" s="83"/>
    </row>
    <row r="928" ht="15.75" customHeight="1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3"/>
      <c r="N928" s="84"/>
      <c r="O928" s="84"/>
      <c r="P928" s="83"/>
      <c r="Q928" s="83"/>
      <c r="R928" s="83"/>
      <c r="S928" s="83"/>
      <c r="T928" s="83"/>
      <c r="U928" s="83"/>
      <c r="V928" s="83"/>
      <c r="W928" s="83"/>
      <c r="X928" s="83"/>
      <c r="Y928" s="83"/>
      <c r="Z928" s="83"/>
      <c r="AA928" s="83"/>
    </row>
    <row r="929" ht="15.75" customHeight="1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3"/>
      <c r="N929" s="84"/>
      <c r="O929" s="84"/>
      <c r="P929" s="83"/>
      <c r="Q929" s="83"/>
      <c r="R929" s="83"/>
      <c r="S929" s="83"/>
      <c r="T929" s="83"/>
      <c r="U929" s="83"/>
      <c r="V929" s="83"/>
      <c r="W929" s="83"/>
      <c r="X929" s="83"/>
      <c r="Y929" s="83"/>
      <c r="Z929" s="83"/>
      <c r="AA929" s="83"/>
    </row>
    <row r="930" ht="15.75" customHeight="1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3"/>
      <c r="N930" s="84"/>
      <c r="O930" s="84"/>
      <c r="P930" s="83"/>
      <c r="Q930" s="83"/>
      <c r="R930" s="83"/>
      <c r="S930" s="83"/>
      <c r="T930" s="83"/>
      <c r="U930" s="83"/>
      <c r="V930" s="83"/>
      <c r="W930" s="83"/>
      <c r="X930" s="83"/>
      <c r="Y930" s="83"/>
      <c r="Z930" s="83"/>
      <c r="AA930" s="83"/>
    </row>
    <row r="931" ht="15.75" customHeight="1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3"/>
      <c r="N931" s="84"/>
      <c r="O931" s="84"/>
      <c r="P931" s="83"/>
      <c r="Q931" s="83"/>
      <c r="R931" s="83"/>
      <c r="S931" s="83"/>
      <c r="T931" s="83"/>
      <c r="U931" s="83"/>
      <c r="V931" s="83"/>
      <c r="W931" s="83"/>
      <c r="X931" s="83"/>
      <c r="Y931" s="83"/>
      <c r="Z931" s="83"/>
      <c r="AA931" s="83"/>
    </row>
    <row r="932" ht="15.75" customHeight="1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3"/>
      <c r="N932" s="84"/>
      <c r="O932" s="84"/>
      <c r="P932" s="83"/>
      <c r="Q932" s="83"/>
      <c r="R932" s="83"/>
      <c r="S932" s="83"/>
      <c r="T932" s="83"/>
      <c r="U932" s="83"/>
      <c r="V932" s="83"/>
      <c r="W932" s="83"/>
      <c r="X932" s="83"/>
      <c r="Y932" s="83"/>
      <c r="Z932" s="83"/>
      <c r="AA932" s="83"/>
    </row>
    <row r="933" ht="15.75" customHeight="1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3"/>
      <c r="N933" s="84"/>
      <c r="O933" s="84"/>
      <c r="P933" s="83"/>
      <c r="Q933" s="83"/>
      <c r="R933" s="83"/>
      <c r="S933" s="83"/>
      <c r="T933" s="83"/>
      <c r="U933" s="83"/>
      <c r="V933" s="83"/>
      <c r="W933" s="83"/>
      <c r="X933" s="83"/>
      <c r="Y933" s="83"/>
      <c r="Z933" s="83"/>
      <c r="AA933" s="83"/>
    </row>
    <row r="934" ht="15.75" customHeight="1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3"/>
      <c r="N934" s="84"/>
      <c r="O934" s="84"/>
      <c r="P934" s="83"/>
      <c r="Q934" s="83"/>
      <c r="R934" s="83"/>
      <c r="S934" s="83"/>
      <c r="T934" s="83"/>
      <c r="U934" s="83"/>
      <c r="V934" s="83"/>
      <c r="W934" s="83"/>
      <c r="X934" s="83"/>
      <c r="Y934" s="83"/>
      <c r="Z934" s="83"/>
      <c r="AA934" s="83"/>
    </row>
    <row r="935" ht="15.75" customHeight="1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3"/>
      <c r="N935" s="84"/>
      <c r="O935" s="84"/>
      <c r="P935" s="83"/>
      <c r="Q935" s="83"/>
      <c r="R935" s="83"/>
      <c r="S935" s="83"/>
      <c r="T935" s="83"/>
      <c r="U935" s="83"/>
      <c r="V935" s="83"/>
      <c r="W935" s="83"/>
      <c r="X935" s="83"/>
      <c r="Y935" s="83"/>
      <c r="Z935" s="83"/>
      <c r="AA935" s="83"/>
    </row>
    <row r="936" ht="15.75" customHeight="1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3"/>
      <c r="N936" s="84"/>
      <c r="O936" s="84"/>
      <c r="P936" s="83"/>
      <c r="Q936" s="83"/>
      <c r="R936" s="83"/>
      <c r="S936" s="83"/>
      <c r="T936" s="83"/>
      <c r="U936" s="83"/>
      <c r="V936" s="83"/>
      <c r="W936" s="83"/>
      <c r="X936" s="83"/>
      <c r="Y936" s="83"/>
      <c r="Z936" s="83"/>
      <c r="AA936" s="83"/>
    </row>
    <row r="937" ht="15.75" customHeight="1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3"/>
      <c r="N937" s="84"/>
      <c r="O937" s="84"/>
      <c r="P937" s="83"/>
      <c r="Q937" s="83"/>
      <c r="R937" s="83"/>
      <c r="S937" s="83"/>
      <c r="T937" s="83"/>
      <c r="U937" s="83"/>
      <c r="V937" s="83"/>
      <c r="W937" s="83"/>
      <c r="X937" s="83"/>
      <c r="Y937" s="83"/>
      <c r="Z937" s="83"/>
      <c r="AA937" s="83"/>
    </row>
    <row r="938" ht="15.75" customHeight="1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3"/>
      <c r="N938" s="84"/>
      <c r="O938" s="84"/>
      <c r="P938" s="83"/>
      <c r="Q938" s="83"/>
      <c r="R938" s="83"/>
      <c r="S938" s="83"/>
      <c r="T938" s="83"/>
      <c r="U938" s="83"/>
      <c r="V938" s="83"/>
      <c r="W938" s="83"/>
      <c r="X938" s="83"/>
      <c r="Y938" s="83"/>
      <c r="Z938" s="83"/>
      <c r="AA938" s="83"/>
    </row>
    <row r="939" ht="15.75" customHeight="1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3"/>
      <c r="N939" s="84"/>
      <c r="O939" s="84"/>
      <c r="P939" s="83"/>
      <c r="Q939" s="83"/>
      <c r="R939" s="83"/>
      <c r="S939" s="83"/>
      <c r="T939" s="83"/>
      <c r="U939" s="83"/>
      <c r="V939" s="83"/>
      <c r="W939" s="83"/>
      <c r="X939" s="83"/>
      <c r="Y939" s="83"/>
      <c r="Z939" s="83"/>
      <c r="AA939" s="83"/>
    </row>
    <row r="940" ht="15.75" customHeight="1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3"/>
      <c r="N940" s="84"/>
      <c r="O940" s="84"/>
      <c r="P940" s="83"/>
      <c r="Q940" s="83"/>
      <c r="R940" s="83"/>
      <c r="S940" s="83"/>
      <c r="T940" s="83"/>
      <c r="U940" s="83"/>
      <c r="V940" s="83"/>
      <c r="W940" s="83"/>
      <c r="X940" s="83"/>
      <c r="Y940" s="83"/>
      <c r="Z940" s="83"/>
      <c r="AA940" s="83"/>
    </row>
    <row r="941" ht="15.75" customHeight="1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3"/>
      <c r="N941" s="84"/>
      <c r="O941" s="84"/>
      <c r="P941" s="83"/>
      <c r="Q941" s="83"/>
      <c r="R941" s="83"/>
      <c r="S941" s="83"/>
      <c r="T941" s="83"/>
      <c r="U941" s="83"/>
      <c r="V941" s="83"/>
      <c r="W941" s="83"/>
      <c r="X941" s="83"/>
      <c r="Y941" s="83"/>
      <c r="Z941" s="83"/>
      <c r="AA941" s="83"/>
    </row>
    <row r="942" ht="15.75" customHeight="1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3"/>
      <c r="N942" s="84"/>
      <c r="O942" s="84"/>
      <c r="P942" s="83"/>
      <c r="Q942" s="83"/>
      <c r="R942" s="83"/>
      <c r="S942" s="83"/>
      <c r="T942" s="83"/>
      <c r="U942" s="83"/>
      <c r="V942" s="83"/>
      <c r="W942" s="83"/>
      <c r="X942" s="83"/>
      <c r="Y942" s="83"/>
      <c r="Z942" s="83"/>
      <c r="AA942" s="83"/>
    </row>
    <row r="943" ht="15.75" customHeight="1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3"/>
      <c r="N943" s="84"/>
      <c r="O943" s="84"/>
      <c r="P943" s="83"/>
      <c r="Q943" s="83"/>
      <c r="R943" s="83"/>
      <c r="S943" s="83"/>
      <c r="T943" s="83"/>
      <c r="U943" s="83"/>
      <c r="V943" s="83"/>
      <c r="W943" s="83"/>
      <c r="X943" s="83"/>
      <c r="Y943" s="83"/>
      <c r="Z943" s="83"/>
      <c r="AA943" s="83"/>
    </row>
    <row r="944" ht="15.75" customHeight="1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3"/>
      <c r="N944" s="84"/>
      <c r="O944" s="84"/>
      <c r="P944" s="83"/>
      <c r="Q944" s="83"/>
      <c r="R944" s="83"/>
      <c r="S944" s="83"/>
      <c r="T944" s="83"/>
      <c r="U944" s="83"/>
      <c r="V944" s="83"/>
      <c r="W944" s="83"/>
      <c r="X944" s="83"/>
      <c r="Y944" s="83"/>
      <c r="Z944" s="83"/>
      <c r="AA944" s="83"/>
    </row>
    <row r="945" ht="15.75" customHeight="1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3"/>
      <c r="N945" s="84"/>
      <c r="O945" s="84"/>
      <c r="P945" s="83"/>
      <c r="Q945" s="83"/>
      <c r="R945" s="83"/>
      <c r="S945" s="83"/>
      <c r="T945" s="83"/>
      <c r="U945" s="83"/>
      <c r="V945" s="83"/>
      <c r="W945" s="83"/>
      <c r="X945" s="83"/>
      <c r="Y945" s="83"/>
      <c r="Z945" s="83"/>
      <c r="AA945" s="83"/>
    </row>
    <row r="946" ht="15.75" customHeight="1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3"/>
      <c r="N946" s="84"/>
      <c r="O946" s="84"/>
      <c r="P946" s="83"/>
      <c r="Q946" s="83"/>
      <c r="R946" s="83"/>
      <c r="S946" s="83"/>
      <c r="T946" s="83"/>
      <c r="U946" s="83"/>
      <c r="V946" s="83"/>
      <c r="W946" s="83"/>
      <c r="X946" s="83"/>
      <c r="Y946" s="83"/>
      <c r="Z946" s="83"/>
      <c r="AA946" s="83"/>
    </row>
    <row r="947" ht="15.75" customHeight="1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3"/>
      <c r="N947" s="84"/>
      <c r="O947" s="84"/>
      <c r="P947" s="83"/>
      <c r="Q947" s="83"/>
      <c r="R947" s="83"/>
      <c r="S947" s="83"/>
      <c r="T947" s="83"/>
      <c r="U947" s="83"/>
      <c r="V947" s="83"/>
      <c r="W947" s="83"/>
      <c r="X947" s="83"/>
      <c r="Y947" s="83"/>
      <c r="Z947" s="83"/>
      <c r="AA947" s="83"/>
    </row>
    <row r="948" ht="15.75" customHeight="1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3"/>
      <c r="N948" s="84"/>
      <c r="O948" s="84"/>
      <c r="P948" s="83"/>
      <c r="Q948" s="83"/>
      <c r="R948" s="83"/>
      <c r="S948" s="83"/>
      <c r="T948" s="83"/>
      <c r="U948" s="83"/>
      <c r="V948" s="83"/>
      <c r="W948" s="83"/>
      <c r="X948" s="83"/>
      <c r="Y948" s="83"/>
      <c r="Z948" s="83"/>
      <c r="AA948" s="83"/>
    </row>
    <row r="949" ht="15.75" customHeight="1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3"/>
      <c r="N949" s="84"/>
      <c r="O949" s="84"/>
      <c r="P949" s="83"/>
      <c r="Q949" s="83"/>
      <c r="R949" s="83"/>
      <c r="S949" s="83"/>
      <c r="T949" s="83"/>
      <c r="U949" s="83"/>
      <c r="V949" s="83"/>
      <c r="W949" s="83"/>
      <c r="X949" s="83"/>
      <c r="Y949" s="83"/>
      <c r="Z949" s="83"/>
      <c r="AA949" s="83"/>
    </row>
    <row r="950" ht="15.75" customHeight="1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3"/>
      <c r="N950" s="84"/>
      <c r="O950" s="84"/>
      <c r="P950" s="83"/>
      <c r="Q950" s="83"/>
      <c r="R950" s="83"/>
      <c r="S950" s="83"/>
      <c r="T950" s="83"/>
      <c r="U950" s="83"/>
      <c r="V950" s="83"/>
      <c r="W950" s="83"/>
      <c r="X950" s="83"/>
      <c r="Y950" s="83"/>
      <c r="Z950" s="83"/>
      <c r="AA950" s="83"/>
    </row>
    <row r="951" ht="15.75" customHeight="1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3"/>
      <c r="N951" s="84"/>
      <c r="O951" s="84"/>
      <c r="P951" s="83"/>
      <c r="Q951" s="83"/>
      <c r="R951" s="83"/>
      <c r="S951" s="83"/>
      <c r="T951" s="83"/>
      <c r="U951" s="83"/>
      <c r="V951" s="83"/>
      <c r="W951" s="83"/>
      <c r="X951" s="83"/>
      <c r="Y951" s="83"/>
      <c r="Z951" s="83"/>
      <c r="AA951" s="83"/>
    </row>
    <row r="952" ht="15.75" customHeight="1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3"/>
      <c r="N952" s="84"/>
      <c r="O952" s="84"/>
      <c r="P952" s="83"/>
      <c r="Q952" s="83"/>
      <c r="R952" s="83"/>
      <c r="S952" s="83"/>
      <c r="T952" s="83"/>
      <c r="U952" s="83"/>
      <c r="V952" s="83"/>
      <c r="W952" s="83"/>
      <c r="X952" s="83"/>
      <c r="Y952" s="83"/>
      <c r="Z952" s="83"/>
      <c r="AA952" s="83"/>
    </row>
    <row r="953" ht="15.75" customHeight="1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3"/>
      <c r="N953" s="84"/>
      <c r="O953" s="84"/>
      <c r="P953" s="83"/>
      <c r="Q953" s="83"/>
      <c r="R953" s="83"/>
      <c r="S953" s="83"/>
      <c r="T953" s="83"/>
      <c r="U953" s="83"/>
      <c r="V953" s="83"/>
      <c r="W953" s="83"/>
      <c r="X953" s="83"/>
      <c r="Y953" s="83"/>
      <c r="Z953" s="83"/>
      <c r="AA953" s="83"/>
    </row>
    <row r="954" ht="15.75" customHeight="1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3"/>
      <c r="N954" s="84"/>
      <c r="O954" s="84"/>
      <c r="P954" s="83"/>
      <c r="Q954" s="83"/>
      <c r="R954" s="83"/>
      <c r="S954" s="83"/>
      <c r="T954" s="83"/>
      <c r="U954" s="83"/>
      <c r="V954" s="83"/>
      <c r="W954" s="83"/>
      <c r="X954" s="83"/>
      <c r="Y954" s="83"/>
      <c r="Z954" s="83"/>
      <c r="AA954" s="83"/>
    </row>
    <row r="955" ht="15.75" customHeight="1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3"/>
      <c r="N955" s="84"/>
      <c r="O955" s="84"/>
      <c r="P955" s="83"/>
      <c r="Q955" s="83"/>
      <c r="R955" s="83"/>
      <c r="S955" s="83"/>
      <c r="T955" s="83"/>
      <c r="U955" s="83"/>
      <c r="V955" s="83"/>
      <c r="W955" s="83"/>
      <c r="X955" s="83"/>
      <c r="Y955" s="83"/>
      <c r="Z955" s="83"/>
      <c r="AA955" s="83"/>
    </row>
    <row r="956" ht="15.75" customHeight="1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3"/>
      <c r="N956" s="84"/>
      <c r="O956" s="84"/>
      <c r="P956" s="83"/>
      <c r="Q956" s="83"/>
      <c r="R956" s="83"/>
      <c r="S956" s="83"/>
      <c r="T956" s="83"/>
      <c r="U956" s="83"/>
      <c r="V956" s="83"/>
      <c r="W956" s="83"/>
      <c r="X956" s="83"/>
      <c r="Y956" s="83"/>
      <c r="Z956" s="83"/>
      <c r="AA956" s="83"/>
    </row>
    <row r="957" ht="15.75" customHeight="1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3"/>
      <c r="N957" s="84"/>
      <c r="O957" s="84"/>
      <c r="P957" s="83"/>
      <c r="Q957" s="83"/>
      <c r="R957" s="83"/>
      <c r="S957" s="83"/>
      <c r="T957" s="83"/>
      <c r="U957" s="83"/>
      <c r="V957" s="83"/>
      <c r="W957" s="83"/>
      <c r="X957" s="83"/>
      <c r="Y957" s="83"/>
      <c r="Z957" s="83"/>
      <c r="AA957" s="83"/>
    </row>
    <row r="958" ht="15.75" customHeight="1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3"/>
      <c r="N958" s="84"/>
      <c r="O958" s="84"/>
      <c r="P958" s="83"/>
      <c r="Q958" s="83"/>
      <c r="R958" s="83"/>
      <c r="S958" s="83"/>
      <c r="T958" s="83"/>
      <c r="U958" s="83"/>
      <c r="V958" s="83"/>
      <c r="W958" s="83"/>
      <c r="X958" s="83"/>
      <c r="Y958" s="83"/>
      <c r="Z958" s="83"/>
      <c r="AA958" s="83"/>
    </row>
    <row r="959" ht="15.75" customHeight="1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3"/>
      <c r="N959" s="84"/>
      <c r="O959" s="84"/>
      <c r="P959" s="83"/>
      <c r="Q959" s="83"/>
      <c r="R959" s="83"/>
      <c r="S959" s="83"/>
      <c r="T959" s="83"/>
      <c r="U959" s="83"/>
      <c r="V959" s="83"/>
      <c r="W959" s="83"/>
      <c r="X959" s="83"/>
      <c r="Y959" s="83"/>
      <c r="Z959" s="83"/>
      <c r="AA959" s="83"/>
    </row>
    <row r="960" ht="15.75" customHeight="1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3"/>
      <c r="N960" s="84"/>
      <c r="O960" s="84"/>
      <c r="P960" s="83"/>
      <c r="Q960" s="83"/>
      <c r="R960" s="83"/>
      <c r="S960" s="83"/>
      <c r="T960" s="83"/>
      <c r="U960" s="83"/>
      <c r="V960" s="83"/>
      <c r="W960" s="83"/>
      <c r="X960" s="83"/>
      <c r="Y960" s="83"/>
      <c r="Z960" s="83"/>
      <c r="AA960" s="83"/>
    </row>
    <row r="961" ht="15.75" customHeight="1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3"/>
      <c r="N961" s="84"/>
      <c r="O961" s="84"/>
      <c r="P961" s="83"/>
      <c r="Q961" s="83"/>
      <c r="R961" s="83"/>
      <c r="S961" s="83"/>
      <c r="T961" s="83"/>
      <c r="U961" s="83"/>
      <c r="V961" s="83"/>
      <c r="W961" s="83"/>
      <c r="X961" s="83"/>
      <c r="Y961" s="83"/>
      <c r="Z961" s="83"/>
      <c r="AA961" s="83"/>
    </row>
    <row r="962" ht="15.75" customHeight="1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3"/>
      <c r="N962" s="84"/>
      <c r="O962" s="84"/>
      <c r="P962" s="83"/>
      <c r="Q962" s="83"/>
      <c r="R962" s="83"/>
      <c r="S962" s="83"/>
      <c r="T962" s="83"/>
      <c r="U962" s="83"/>
      <c r="V962" s="83"/>
      <c r="W962" s="83"/>
      <c r="X962" s="83"/>
      <c r="Y962" s="83"/>
      <c r="Z962" s="83"/>
      <c r="AA962" s="83"/>
    </row>
    <row r="963" ht="15.75" customHeight="1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3"/>
      <c r="N963" s="84"/>
      <c r="O963" s="84"/>
      <c r="P963" s="83"/>
      <c r="Q963" s="83"/>
      <c r="R963" s="83"/>
      <c r="S963" s="83"/>
      <c r="T963" s="83"/>
      <c r="U963" s="83"/>
      <c r="V963" s="83"/>
      <c r="W963" s="83"/>
      <c r="X963" s="83"/>
      <c r="Y963" s="83"/>
      <c r="Z963" s="83"/>
      <c r="AA963" s="83"/>
    </row>
    <row r="964" ht="15.75" customHeight="1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3"/>
      <c r="N964" s="84"/>
      <c r="O964" s="84"/>
      <c r="P964" s="83"/>
      <c r="Q964" s="83"/>
      <c r="R964" s="83"/>
      <c r="S964" s="83"/>
      <c r="T964" s="83"/>
      <c r="U964" s="83"/>
      <c r="V964" s="83"/>
      <c r="W964" s="83"/>
      <c r="X964" s="83"/>
      <c r="Y964" s="83"/>
      <c r="Z964" s="83"/>
      <c r="AA964" s="83"/>
    </row>
    <row r="965" ht="15.75" customHeight="1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3"/>
      <c r="N965" s="84"/>
      <c r="O965" s="84"/>
      <c r="P965" s="83"/>
      <c r="Q965" s="83"/>
      <c r="R965" s="83"/>
      <c r="S965" s="83"/>
      <c r="T965" s="83"/>
      <c r="U965" s="83"/>
      <c r="V965" s="83"/>
      <c r="W965" s="83"/>
      <c r="X965" s="83"/>
      <c r="Y965" s="83"/>
      <c r="Z965" s="83"/>
      <c r="AA965" s="83"/>
    </row>
    <row r="966" ht="15.75" customHeight="1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3"/>
      <c r="N966" s="84"/>
      <c r="O966" s="84"/>
      <c r="P966" s="83"/>
      <c r="Q966" s="83"/>
      <c r="R966" s="83"/>
      <c r="S966" s="83"/>
      <c r="T966" s="83"/>
      <c r="U966" s="83"/>
      <c r="V966" s="83"/>
      <c r="W966" s="83"/>
      <c r="X966" s="83"/>
      <c r="Y966" s="83"/>
      <c r="Z966" s="83"/>
      <c r="AA966" s="83"/>
    </row>
    <row r="967" ht="15.75" customHeight="1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3"/>
      <c r="N967" s="84"/>
      <c r="O967" s="84"/>
      <c r="P967" s="83"/>
      <c r="Q967" s="83"/>
      <c r="R967" s="83"/>
      <c r="S967" s="83"/>
      <c r="T967" s="83"/>
      <c r="U967" s="83"/>
      <c r="V967" s="83"/>
      <c r="W967" s="83"/>
      <c r="X967" s="83"/>
      <c r="Y967" s="83"/>
      <c r="Z967" s="83"/>
      <c r="AA967" s="83"/>
    </row>
    <row r="968" ht="15.75" customHeight="1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3"/>
      <c r="N968" s="84"/>
      <c r="O968" s="84"/>
      <c r="P968" s="83"/>
      <c r="Q968" s="83"/>
      <c r="R968" s="83"/>
      <c r="S968" s="83"/>
      <c r="T968" s="83"/>
      <c r="U968" s="83"/>
      <c r="V968" s="83"/>
      <c r="W968" s="83"/>
      <c r="X968" s="83"/>
      <c r="Y968" s="83"/>
      <c r="Z968" s="83"/>
      <c r="AA968" s="83"/>
    </row>
    <row r="969" ht="15.75" customHeight="1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3"/>
      <c r="N969" s="84"/>
      <c r="O969" s="84"/>
      <c r="P969" s="83"/>
      <c r="Q969" s="83"/>
      <c r="R969" s="83"/>
      <c r="S969" s="83"/>
      <c r="T969" s="83"/>
      <c r="U969" s="83"/>
      <c r="V969" s="83"/>
      <c r="W969" s="83"/>
      <c r="X969" s="83"/>
      <c r="Y969" s="83"/>
      <c r="Z969" s="83"/>
      <c r="AA969" s="83"/>
    </row>
    <row r="970" ht="15.75" customHeight="1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3"/>
      <c r="N970" s="84"/>
      <c r="O970" s="84"/>
      <c r="P970" s="83"/>
      <c r="Q970" s="83"/>
      <c r="R970" s="83"/>
      <c r="S970" s="83"/>
      <c r="T970" s="83"/>
      <c r="U970" s="83"/>
      <c r="V970" s="83"/>
      <c r="W970" s="83"/>
      <c r="X970" s="83"/>
      <c r="Y970" s="83"/>
      <c r="Z970" s="83"/>
      <c r="AA970" s="83"/>
    </row>
    <row r="971" ht="15.75" customHeight="1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3"/>
      <c r="N971" s="84"/>
      <c r="O971" s="84"/>
      <c r="P971" s="83"/>
      <c r="Q971" s="83"/>
      <c r="R971" s="83"/>
      <c r="S971" s="83"/>
      <c r="T971" s="83"/>
      <c r="U971" s="83"/>
      <c r="V971" s="83"/>
      <c r="W971" s="83"/>
      <c r="X971" s="83"/>
      <c r="Y971" s="83"/>
      <c r="Z971" s="83"/>
      <c r="AA971" s="83"/>
    </row>
    <row r="972" ht="15.75" customHeight="1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3"/>
      <c r="N972" s="84"/>
      <c r="O972" s="84"/>
      <c r="P972" s="83"/>
      <c r="Q972" s="83"/>
      <c r="R972" s="83"/>
      <c r="S972" s="83"/>
      <c r="T972" s="83"/>
      <c r="U972" s="83"/>
      <c r="V972" s="83"/>
      <c r="W972" s="83"/>
      <c r="X972" s="83"/>
      <c r="Y972" s="83"/>
      <c r="Z972" s="83"/>
      <c r="AA972" s="83"/>
    </row>
    <row r="973" ht="15.75" customHeight="1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3"/>
      <c r="N973" s="84"/>
      <c r="O973" s="84"/>
      <c r="P973" s="83"/>
      <c r="Q973" s="83"/>
      <c r="R973" s="83"/>
      <c r="S973" s="83"/>
      <c r="T973" s="83"/>
      <c r="U973" s="83"/>
      <c r="V973" s="83"/>
      <c r="W973" s="83"/>
      <c r="X973" s="83"/>
      <c r="Y973" s="83"/>
      <c r="Z973" s="83"/>
      <c r="AA973" s="83"/>
    </row>
    <row r="974" ht="15.75" customHeight="1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3"/>
      <c r="N974" s="84"/>
      <c r="O974" s="84"/>
      <c r="P974" s="83"/>
      <c r="Q974" s="83"/>
      <c r="R974" s="83"/>
      <c r="S974" s="83"/>
      <c r="T974" s="83"/>
      <c r="U974" s="83"/>
      <c r="V974" s="83"/>
      <c r="W974" s="83"/>
      <c r="X974" s="83"/>
      <c r="Y974" s="83"/>
      <c r="Z974" s="83"/>
      <c r="AA974" s="83"/>
    </row>
    <row r="975" ht="15.75" customHeight="1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3"/>
      <c r="N975" s="84"/>
      <c r="O975" s="84"/>
      <c r="P975" s="83"/>
      <c r="Q975" s="83"/>
      <c r="R975" s="83"/>
      <c r="S975" s="83"/>
      <c r="T975" s="83"/>
      <c r="U975" s="83"/>
      <c r="V975" s="83"/>
      <c r="W975" s="83"/>
      <c r="X975" s="83"/>
      <c r="Y975" s="83"/>
      <c r="Z975" s="83"/>
      <c r="AA975" s="83"/>
    </row>
    <row r="976" ht="15.75" customHeight="1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3"/>
      <c r="N976" s="84"/>
      <c r="O976" s="84"/>
      <c r="P976" s="83"/>
      <c r="Q976" s="83"/>
      <c r="R976" s="83"/>
      <c r="S976" s="83"/>
      <c r="T976" s="83"/>
      <c r="U976" s="83"/>
      <c r="V976" s="83"/>
      <c r="W976" s="83"/>
      <c r="X976" s="83"/>
      <c r="Y976" s="83"/>
      <c r="Z976" s="83"/>
      <c r="AA976" s="83"/>
    </row>
    <row r="977" ht="15.75" customHeight="1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3"/>
      <c r="N977" s="84"/>
      <c r="O977" s="84"/>
      <c r="P977" s="83"/>
      <c r="Q977" s="83"/>
      <c r="R977" s="83"/>
      <c r="S977" s="83"/>
      <c r="T977" s="83"/>
      <c r="U977" s="83"/>
      <c r="V977" s="83"/>
      <c r="W977" s="83"/>
      <c r="X977" s="83"/>
      <c r="Y977" s="83"/>
      <c r="Z977" s="83"/>
      <c r="AA977" s="83"/>
    </row>
    <row r="978" ht="15.75" customHeight="1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3"/>
      <c r="N978" s="84"/>
      <c r="O978" s="84"/>
      <c r="P978" s="83"/>
      <c r="Q978" s="83"/>
      <c r="R978" s="83"/>
      <c r="S978" s="83"/>
      <c r="T978" s="83"/>
      <c r="U978" s="83"/>
      <c r="V978" s="83"/>
      <c r="W978" s="83"/>
      <c r="X978" s="83"/>
      <c r="Y978" s="83"/>
      <c r="Z978" s="83"/>
      <c r="AA978" s="83"/>
    </row>
    <row r="979" ht="15.75" customHeight="1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3"/>
      <c r="N979" s="84"/>
      <c r="O979" s="84"/>
      <c r="P979" s="83"/>
      <c r="Q979" s="83"/>
      <c r="R979" s="83"/>
      <c r="S979" s="83"/>
      <c r="T979" s="83"/>
      <c r="U979" s="83"/>
      <c r="V979" s="83"/>
      <c r="W979" s="83"/>
      <c r="X979" s="83"/>
      <c r="Y979" s="83"/>
      <c r="Z979" s="83"/>
      <c r="AA979" s="83"/>
    </row>
    <row r="980" ht="15.75" customHeight="1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3"/>
      <c r="N980" s="84"/>
      <c r="O980" s="84"/>
      <c r="P980" s="83"/>
      <c r="Q980" s="83"/>
      <c r="R980" s="83"/>
      <c r="S980" s="83"/>
      <c r="T980" s="83"/>
      <c r="U980" s="83"/>
      <c r="V980" s="83"/>
      <c r="W980" s="83"/>
      <c r="X980" s="83"/>
      <c r="Y980" s="83"/>
      <c r="Z980" s="83"/>
      <c r="AA980" s="83"/>
    </row>
    <row r="981" ht="15.75" customHeight="1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3"/>
      <c r="N981" s="84"/>
      <c r="O981" s="84"/>
      <c r="P981" s="83"/>
      <c r="Q981" s="83"/>
      <c r="R981" s="83"/>
      <c r="S981" s="83"/>
      <c r="T981" s="83"/>
      <c r="U981" s="83"/>
      <c r="V981" s="83"/>
      <c r="W981" s="83"/>
      <c r="X981" s="83"/>
      <c r="Y981" s="83"/>
      <c r="Z981" s="83"/>
      <c r="AA981" s="83"/>
    </row>
    <row r="982" ht="15.75" customHeight="1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3"/>
      <c r="N982" s="84"/>
      <c r="O982" s="84"/>
      <c r="P982" s="83"/>
      <c r="Q982" s="83"/>
      <c r="R982" s="83"/>
      <c r="S982" s="83"/>
      <c r="T982" s="83"/>
      <c r="U982" s="83"/>
      <c r="V982" s="83"/>
      <c r="W982" s="83"/>
      <c r="X982" s="83"/>
      <c r="Y982" s="83"/>
      <c r="Z982" s="83"/>
      <c r="AA982" s="83"/>
    </row>
    <row r="983" ht="15.75" customHeight="1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3"/>
      <c r="N983" s="84"/>
      <c r="O983" s="84"/>
      <c r="P983" s="83"/>
      <c r="Q983" s="83"/>
      <c r="R983" s="83"/>
      <c r="S983" s="83"/>
      <c r="T983" s="83"/>
      <c r="U983" s="83"/>
      <c r="V983" s="83"/>
      <c r="W983" s="83"/>
      <c r="X983" s="83"/>
      <c r="Y983" s="83"/>
      <c r="Z983" s="83"/>
      <c r="AA983" s="83"/>
    </row>
    <row r="984" ht="15.75" customHeight="1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3"/>
      <c r="N984" s="84"/>
      <c r="O984" s="84"/>
      <c r="P984" s="83"/>
      <c r="Q984" s="83"/>
      <c r="R984" s="83"/>
      <c r="S984" s="83"/>
      <c r="T984" s="83"/>
      <c r="U984" s="83"/>
      <c r="V984" s="83"/>
      <c r="W984" s="83"/>
      <c r="X984" s="83"/>
      <c r="Y984" s="83"/>
      <c r="Z984" s="83"/>
      <c r="AA984" s="83"/>
    </row>
    <row r="985" ht="15.75" customHeight="1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3"/>
      <c r="N985" s="84"/>
      <c r="O985" s="84"/>
      <c r="P985" s="83"/>
      <c r="Q985" s="83"/>
      <c r="R985" s="83"/>
      <c r="S985" s="83"/>
      <c r="T985" s="83"/>
      <c r="U985" s="83"/>
      <c r="V985" s="83"/>
      <c r="W985" s="83"/>
      <c r="X985" s="83"/>
      <c r="Y985" s="83"/>
      <c r="Z985" s="83"/>
      <c r="AA985" s="83"/>
    </row>
    <row r="986" ht="15.75" customHeight="1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3"/>
      <c r="N986" s="84"/>
      <c r="O986" s="84"/>
      <c r="P986" s="83"/>
      <c r="Q986" s="83"/>
      <c r="R986" s="83"/>
      <c r="S986" s="83"/>
      <c r="T986" s="83"/>
      <c r="U986" s="83"/>
      <c r="V986" s="83"/>
      <c r="W986" s="83"/>
      <c r="X986" s="83"/>
      <c r="Y986" s="83"/>
      <c r="Z986" s="83"/>
      <c r="AA986" s="83"/>
    </row>
    <row r="987" ht="15.75" customHeight="1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3"/>
      <c r="N987" s="84"/>
      <c r="O987" s="84"/>
      <c r="P987" s="83"/>
      <c r="Q987" s="83"/>
      <c r="R987" s="83"/>
      <c r="S987" s="83"/>
      <c r="T987" s="83"/>
      <c r="U987" s="83"/>
      <c r="V987" s="83"/>
      <c r="W987" s="83"/>
      <c r="X987" s="83"/>
      <c r="Y987" s="83"/>
      <c r="Z987" s="83"/>
      <c r="AA987" s="83"/>
    </row>
    <row r="988" ht="15.75" customHeight="1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3"/>
      <c r="N988" s="84"/>
      <c r="O988" s="84"/>
      <c r="P988" s="83"/>
      <c r="Q988" s="83"/>
      <c r="R988" s="83"/>
      <c r="S988" s="83"/>
      <c r="T988" s="83"/>
      <c r="U988" s="83"/>
      <c r="V988" s="83"/>
      <c r="W988" s="83"/>
      <c r="X988" s="83"/>
      <c r="Y988" s="83"/>
      <c r="Z988" s="83"/>
      <c r="AA988" s="83"/>
    </row>
    <row r="989" ht="15.75" customHeight="1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3"/>
      <c r="N989" s="84"/>
      <c r="O989" s="84"/>
      <c r="P989" s="83"/>
      <c r="Q989" s="83"/>
      <c r="R989" s="83"/>
      <c r="S989" s="83"/>
      <c r="T989" s="83"/>
      <c r="U989" s="83"/>
      <c r="V989" s="83"/>
      <c r="W989" s="83"/>
      <c r="X989" s="83"/>
      <c r="Y989" s="83"/>
      <c r="Z989" s="83"/>
      <c r="AA989" s="83"/>
    </row>
    <row r="990" ht="15.75" customHeight="1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3"/>
      <c r="N990" s="84"/>
      <c r="O990" s="84"/>
      <c r="P990" s="83"/>
      <c r="Q990" s="83"/>
      <c r="R990" s="83"/>
      <c r="S990" s="83"/>
      <c r="T990" s="83"/>
      <c r="U990" s="83"/>
      <c r="V990" s="83"/>
      <c r="W990" s="83"/>
      <c r="X990" s="83"/>
      <c r="Y990" s="83"/>
      <c r="Z990" s="83"/>
      <c r="AA990" s="83"/>
    </row>
    <row r="991" ht="15.75" customHeight="1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3"/>
      <c r="N991" s="84"/>
      <c r="O991" s="84"/>
      <c r="P991" s="83"/>
      <c r="Q991" s="83"/>
      <c r="R991" s="83"/>
      <c r="S991" s="83"/>
      <c r="T991" s="83"/>
      <c r="U991" s="83"/>
      <c r="V991" s="83"/>
      <c r="W991" s="83"/>
      <c r="X991" s="83"/>
      <c r="Y991" s="83"/>
      <c r="Z991" s="83"/>
      <c r="AA991" s="83"/>
    </row>
    <row r="992" ht="15.75" customHeight="1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3"/>
      <c r="N992" s="84"/>
      <c r="O992" s="84"/>
      <c r="P992" s="83"/>
      <c r="Q992" s="83"/>
      <c r="R992" s="83"/>
      <c r="S992" s="83"/>
      <c r="T992" s="83"/>
      <c r="U992" s="83"/>
      <c r="V992" s="83"/>
      <c r="W992" s="83"/>
      <c r="X992" s="83"/>
      <c r="Y992" s="83"/>
      <c r="Z992" s="83"/>
      <c r="AA992" s="83"/>
    </row>
    <row r="993" ht="15.75" customHeight="1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3"/>
      <c r="N993" s="84"/>
      <c r="O993" s="84"/>
      <c r="P993" s="83"/>
      <c r="Q993" s="83"/>
      <c r="R993" s="83"/>
      <c r="S993" s="83"/>
      <c r="T993" s="83"/>
      <c r="U993" s="83"/>
      <c r="V993" s="83"/>
      <c r="W993" s="83"/>
      <c r="X993" s="83"/>
      <c r="Y993" s="83"/>
      <c r="Z993" s="83"/>
      <c r="AA993" s="83"/>
    </row>
    <row r="994" ht="15.75" customHeight="1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3"/>
      <c r="N994" s="84"/>
      <c r="O994" s="84"/>
      <c r="P994" s="83"/>
      <c r="Q994" s="83"/>
      <c r="R994" s="83"/>
      <c r="S994" s="83"/>
      <c r="T994" s="83"/>
      <c r="U994" s="83"/>
      <c r="V994" s="83"/>
      <c r="W994" s="83"/>
      <c r="X994" s="83"/>
      <c r="Y994" s="83"/>
      <c r="Z994" s="83"/>
      <c r="AA994" s="83"/>
    </row>
    <row r="995" ht="15.75" customHeight="1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3"/>
      <c r="N995" s="84"/>
      <c r="O995" s="84"/>
      <c r="P995" s="83"/>
      <c r="Q995" s="83"/>
      <c r="R995" s="83"/>
      <c r="S995" s="83"/>
      <c r="T995" s="83"/>
      <c r="U995" s="83"/>
      <c r="V995" s="83"/>
      <c r="W995" s="83"/>
      <c r="X995" s="83"/>
      <c r="Y995" s="83"/>
      <c r="Z995" s="83"/>
      <c r="AA995" s="83"/>
    </row>
    <row r="996" ht="15.75" customHeight="1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3"/>
      <c r="N996" s="84"/>
      <c r="O996" s="84"/>
      <c r="P996" s="83"/>
      <c r="Q996" s="83"/>
      <c r="R996" s="83"/>
      <c r="S996" s="83"/>
      <c r="T996" s="83"/>
      <c r="U996" s="83"/>
      <c r="V996" s="83"/>
      <c r="W996" s="83"/>
      <c r="X996" s="83"/>
      <c r="Y996" s="83"/>
      <c r="Z996" s="83"/>
      <c r="AA996" s="83"/>
    </row>
    <row r="997" ht="15.75" customHeight="1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3"/>
      <c r="N997" s="84"/>
      <c r="O997" s="84"/>
      <c r="P997" s="83"/>
      <c r="Q997" s="83"/>
      <c r="R997" s="83"/>
      <c r="S997" s="83"/>
      <c r="T997" s="83"/>
      <c r="U997" s="83"/>
      <c r="V997" s="83"/>
      <c r="W997" s="83"/>
      <c r="X997" s="83"/>
      <c r="Y997" s="83"/>
      <c r="Z997" s="83"/>
      <c r="AA997" s="83"/>
    </row>
    <row r="998" ht="15.75" customHeight="1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3"/>
      <c r="N998" s="84"/>
      <c r="O998" s="84"/>
      <c r="P998" s="83"/>
      <c r="Q998" s="83"/>
      <c r="R998" s="83"/>
      <c r="S998" s="83"/>
      <c r="T998" s="83"/>
      <c r="U998" s="83"/>
      <c r="V998" s="83"/>
      <c r="W998" s="83"/>
      <c r="X998" s="83"/>
      <c r="Y998" s="83"/>
      <c r="Z998" s="83"/>
      <c r="AA998" s="83"/>
    </row>
    <row r="999" ht="15.75" customHeight="1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3"/>
      <c r="N999" s="84"/>
      <c r="O999" s="84"/>
      <c r="P999" s="83"/>
      <c r="Q999" s="83"/>
      <c r="R999" s="83"/>
      <c r="S999" s="83"/>
      <c r="T999" s="83"/>
      <c r="U999" s="83"/>
      <c r="V999" s="83"/>
      <c r="W999" s="83"/>
      <c r="X999" s="83"/>
      <c r="Y999" s="83"/>
      <c r="Z999" s="83"/>
      <c r="AA999" s="83"/>
    </row>
    <row r="1000" ht="15.75" customHeight="1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3"/>
      <c r="N1000" s="84"/>
      <c r="O1000" s="84"/>
      <c r="P1000" s="83"/>
      <c r="Q1000" s="83"/>
      <c r="R1000" s="83"/>
      <c r="S1000" s="83"/>
      <c r="T1000" s="83"/>
      <c r="U1000" s="83"/>
      <c r="V1000" s="83"/>
      <c r="W1000" s="83"/>
      <c r="X1000" s="83"/>
      <c r="Y1000" s="83"/>
      <c r="Z1000" s="83"/>
      <c r="AA1000" s="83"/>
    </row>
    <row r="1001" ht="15.75" customHeight="1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3"/>
      <c r="N1001" s="84"/>
      <c r="O1001" s="84"/>
      <c r="P1001" s="83"/>
      <c r="Q1001" s="83"/>
      <c r="R1001" s="83"/>
      <c r="S1001" s="83"/>
      <c r="T1001" s="83"/>
      <c r="U1001" s="83"/>
      <c r="V1001" s="83"/>
      <c r="W1001" s="83"/>
      <c r="X1001" s="83"/>
      <c r="Y1001" s="83"/>
      <c r="Z1001" s="83"/>
      <c r="AA1001" s="83"/>
    </row>
    <row r="1002" ht="15.75" customHeight="1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3"/>
      <c r="N1002" s="84"/>
      <c r="O1002" s="84"/>
      <c r="P1002" s="83"/>
      <c r="Q1002" s="83"/>
      <c r="R1002" s="83"/>
      <c r="S1002" s="83"/>
      <c r="T1002" s="83"/>
      <c r="U1002" s="83"/>
      <c r="V1002" s="83"/>
      <c r="W1002" s="83"/>
      <c r="X1002" s="83"/>
      <c r="Y1002" s="83"/>
      <c r="Z1002" s="83"/>
      <c r="AA1002" s="83"/>
    </row>
    <row r="1003" ht="15.75" customHeight="1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3"/>
      <c r="N1003" s="84"/>
      <c r="O1003" s="84"/>
      <c r="P1003" s="83"/>
      <c r="Q1003" s="83"/>
      <c r="R1003" s="83"/>
      <c r="S1003" s="83"/>
      <c r="T1003" s="83"/>
      <c r="U1003" s="83"/>
      <c r="V1003" s="83"/>
      <c r="W1003" s="83"/>
      <c r="X1003" s="83"/>
      <c r="Y1003" s="83"/>
      <c r="Z1003" s="83"/>
      <c r="AA1003" s="83"/>
    </row>
    <row r="1004" ht="15.75" customHeight="1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3"/>
      <c r="N1004" s="84"/>
      <c r="O1004" s="84"/>
      <c r="P1004" s="83"/>
      <c r="Q1004" s="83"/>
      <c r="R1004" s="83"/>
      <c r="S1004" s="83"/>
      <c r="T1004" s="83"/>
      <c r="U1004" s="83"/>
      <c r="V1004" s="83"/>
      <c r="W1004" s="83"/>
      <c r="X1004" s="83"/>
      <c r="Y1004" s="83"/>
      <c r="Z1004" s="83"/>
      <c r="AA1004" s="83"/>
    </row>
    <row r="1005" ht="15.75" customHeight="1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3"/>
      <c r="N1005" s="84"/>
      <c r="O1005" s="84"/>
      <c r="P1005" s="83"/>
      <c r="Q1005" s="83"/>
      <c r="R1005" s="83"/>
      <c r="S1005" s="83"/>
      <c r="T1005" s="83"/>
      <c r="U1005" s="83"/>
      <c r="V1005" s="83"/>
      <c r="W1005" s="83"/>
      <c r="X1005" s="83"/>
      <c r="Y1005" s="83"/>
      <c r="Z1005" s="83"/>
      <c r="AA1005" s="83"/>
    </row>
    <row r="1006" ht="15.75" customHeight="1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3"/>
      <c r="N1006" s="84"/>
      <c r="O1006" s="84"/>
      <c r="P1006" s="83"/>
      <c r="Q1006" s="83"/>
      <c r="R1006" s="83"/>
      <c r="S1006" s="83"/>
      <c r="T1006" s="83"/>
      <c r="U1006" s="83"/>
      <c r="V1006" s="83"/>
      <c r="W1006" s="83"/>
      <c r="X1006" s="83"/>
      <c r="Y1006" s="83"/>
      <c r="Z1006" s="83"/>
      <c r="AA1006" s="83"/>
    </row>
    <row r="1007" ht="15.75" customHeight="1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3"/>
      <c r="N1007" s="84"/>
      <c r="O1007" s="84"/>
      <c r="P1007" s="83"/>
      <c r="Q1007" s="83"/>
      <c r="R1007" s="83"/>
      <c r="S1007" s="83"/>
      <c r="T1007" s="83"/>
      <c r="U1007" s="83"/>
      <c r="V1007" s="83"/>
      <c r="W1007" s="83"/>
      <c r="X1007" s="83"/>
      <c r="Y1007" s="83"/>
      <c r="Z1007" s="83"/>
      <c r="AA1007" s="83"/>
    </row>
    <row r="1008" ht="15.75" customHeight="1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3"/>
      <c r="N1008" s="84"/>
      <c r="O1008" s="84"/>
      <c r="P1008" s="83"/>
      <c r="Q1008" s="83"/>
      <c r="R1008" s="83"/>
      <c r="S1008" s="83"/>
      <c r="T1008" s="83"/>
      <c r="U1008" s="83"/>
      <c r="V1008" s="83"/>
      <c r="W1008" s="83"/>
      <c r="X1008" s="83"/>
      <c r="Y1008" s="83"/>
      <c r="Z1008" s="83"/>
      <c r="AA1008" s="83"/>
    </row>
    <row r="1009" ht="15.75" customHeight="1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3"/>
      <c r="N1009" s="84"/>
      <c r="O1009" s="84"/>
      <c r="P1009" s="83"/>
      <c r="Q1009" s="83"/>
      <c r="R1009" s="83"/>
      <c r="S1009" s="83"/>
      <c r="T1009" s="83"/>
      <c r="U1009" s="83"/>
      <c r="V1009" s="83"/>
      <c r="W1009" s="83"/>
      <c r="X1009" s="83"/>
      <c r="Y1009" s="83"/>
      <c r="Z1009" s="83"/>
      <c r="AA1009" s="83"/>
    </row>
    <row r="1010" ht="15.75" customHeight="1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3"/>
      <c r="N1010" s="84"/>
      <c r="O1010" s="84"/>
      <c r="P1010" s="83"/>
      <c r="Q1010" s="83"/>
      <c r="R1010" s="83"/>
      <c r="S1010" s="83"/>
      <c r="T1010" s="83"/>
      <c r="U1010" s="83"/>
      <c r="V1010" s="83"/>
      <c r="W1010" s="83"/>
      <c r="X1010" s="83"/>
      <c r="Y1010" s="83"/>
      <c r="Z1010" s="83"/>
      <c r="AA1010" s="83"/>
    </row>
    <row r="1011" ht="15.75" customHeight="1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3"/>
      <c r="N1011" s="84"/>
      <c r="O1011" s="84"/>
      <c r="P1011" s="83"/>
      <c r="Q1011" s="83"/>
      <c r="R1011" s="83"/>
      <c r="S1011" s="83"/>
      <c r="T1011" s="83"/>
      <c r="U1011" s="83"/>
      <c r="V1011" s="83"/>
      <c r="W1011" s="83"/>
      <c r="X1011" s="83"/>
      <c r="Y1011" s="83"/>
      <c r="Z1011" s="83"/>
      <c r="AA1011" s="83"/>
    </row>
    <row r="1012" ht="15.75" customHeight="1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3"/>
      <c r="N1012" s="84"/>
      <c r="O1012" s="84"/>
      <c r="P1012" s="83"/>
      <c r="Q1012" s="83"/>
      <c r="R1012" s="83"/>
      <c r="S1012" s="83"/>
      <c r="T1012" s="83"/>
      <c r="U1012" s="83"/>
      <c r="V1012" s="83"/>
      <c r="W1012" s="83"/>
      <c r="X1012" s="83"/>
      <c r="Y1012" s="83"/>
      <c r="Z1012" s="83"/>
      <c r="AA1012" s="83"/>
    </row>
    <row r="1013" ht="15.75" customHeight="1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3"/>
      <c r="N1013" s="84"/>
      <c r="O1013" s="84"/>
      <c r="P1013" s="83"/>
      <c r="Q1013" s="83"/>
      <c r="R1013" s="83"/>
      <c r="S1013" s="83"/>
      <c r="T1013" s="83"/>
      <c r="U1013" s="83"/>
      <c r="V1013" s="83"/>
      <c r="W1013" s="83"/>
      <c r="X1013" s="83"/>
      <c r="Y1013" s="83"/>
      <c r="Z1013" s="83"/>
      <c r="AA1013" s="83"/>
    </row>
    <row r="1014" ht="15.75" customHeight="1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3"/>
      <c r="N1014" s="84"/>
      <c r="O1014" s="84"/>
      <c r="P1014" s="83"/>
      <c r="Q1014" s="83"/>
      <c r="R1014" s="83"/>
      <c r="S1014" s="83"/>
      <c r="T1014" s="83"/>
      <c r="U1014" s="83"/>
      <c r="V1014" s="83"/>
      <c r="W1014" s="83"/>
      <c r="X1014" s="83"/>
      <c r="Y1014" s="83"/>
      <c r="Z1014" s="83"/>
      <c r="AA1014" s="83"/>
    </row>
    <row r="1015" ht="15.75" customHeight="1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3"/>
      <c r="N1015" s="84"/>
      <c r="O1015" s="84"/>
      <c r="P1015" s="83"/>
      <c r="Q1015" s="83"/>
      <c r="R1015" s="83"/>
      <c r="S1015" s="83"/>
      <c r="T1015" s="83"/>
      <c r="U1015" s="83"/>
      <c r="V1015" s="83"/>
      <c r="W1015" s="83"/>
      <c r="X1015" s="83"/>
      <c r="Y1015" s="83"/>
      <c r="Z1015" s="83"/>
      <c r="AA1015" s="83"/>
    </row>
    <row r="1016" ht="15.75" customHeight="1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3"/>
      <c r="N1016" s="84"/>
      <c r="O1016" s="84"/>
      <c r="P1016" s="83"/>
      <c r="Q1016" s="83"/>
      <c r="R1016" s="83"/>
      <c r="S1016" s="83"/>
      <c r="T1016" s="83"/>
      <c r="U1016" s="83"/>
      <c r="V1016" s="83"/>
      <c r="W1016" s="83"/>
      <c r="X1016" s="83"/>
      <c r="Y1016" s="83"/>
      <c r="Z1016" s="83"/>
      <c r="AA1016" s="83"/>
    </row>
    <row r="1017" ht="15.75" customHeight="1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3"/>
      <c r="N1017" s="84"/>
      <c r="O1017" s="84"/>
      <c r="P1017" s="83"/>
      <c r="Q1017" s="83"/>
      <c r="R1017" s="83"/>
      <c r="S1017" s="83"/>
      <c r="T1017" s="83"/>
      <c r="U1017" s="83"/>
      <c r="V1017" s="83"/>
      <c r="W1017" s="83"/>
      <c r="X1017" s="83"/>
      <c r="Y1017" s="83"/>
      <c r="Z1017" s="83"/>
      <c r="AA1017" s="83"/>
    </row>
    <row r="1018" ht="15.75" customHeight="1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3"/>
      <c r="N1018" s="84"/>
      <c r="O1018" s="84"/>
      <c r="P1018" s="83"/>
      <c r="Q1018" s="83"/>
      <c r="R1018" s="83"/>
      <c r="S1018" s="83"/>
      <c r="T1018" s="83"/>
      <c r="U1018" s="83"/>
      <c r="V1018" s="83"/>
      <c r="W1018" s="83"/>
      <c r="X1018" s="83"/>
      <c r="Y1018" s="83"/>
      <c r="Z1018" s="83"/>
      <c r="AA1018" s="83"/>
    </row>
    <row r="1019" ht="15.75" customHeight="1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3"/>
      <c r="N1019" s="84"/>
      <c r="O1019" s="84"/>
      <c r="P1019" s="83"/>
      <c r="Q1019" s="83"/>
      <c r="R1019" s="83"/>
      <c r="S1019" s="83"/>
      <c r="T1019" s="83"/>
      <c r="U1019" s="83"/>
      <c r="V1019" s="83"/>
      <c r="W1019" s="83"/>
      <c r="X1019" s="83"/>
      <c r="Y1019" s="83"/>
      <c r="Z1019" s="83"/>
      <c r="AA1019" s="83"/>
    </row>
    <row r="1020" ht="15.75" customHeight="1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3"/>
      <c r="N1020" s="84"/>
      <c r="O1020" s="84"/>
      <c r="P1020" s="83"/>
      <c r="Q1020" s="83"/>
      <c r="R1020" s="83"/>
      <c r="S1020" s="83"/>
      <c r="T1020" s="83"/>
      <c r="U1020" s="83"/>
      <c r="V1020" s="83"/>
      <c r="W1020" s="83"/>
      <c r="X1020" s="83"/>
      <c r="Y1020" s="83"/>
      <c r="Z1020" s="83"/>
      <c r="AA1020" s="83"/>
    </row>
    <row r="1021" ht="15.75" customHeight="1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3"/>
      <c r="N1021" s="84"/>
      <c r="O1021" s="84"/>
      <c r="P1021" s="83"/>
      <c r="Q1021" s="83"/>
      <c r="R1021" s="83"/>
      <c r="S1021" s="83"/>
      <c r="T1021" s="83"/>
      <c r="U1021" s="83"/>
      <c r="V1021" s="83"/>
      <c r="W1021" s="83"/>
      <c r="X1021" s="83"/>
      <c r="Y1021" s="83"/>
      <c r="Z1021" s="83"/>
      <c r="AA1021" s="83"/>
    </row>
    <row r="1022" ht="15.75" customHeight="1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3"/>
      <c r="N1022" s="84"/>
      <c r="O1022" s="84"/>
      <c r="P1022" s="83"/>
      <c r="Q1022" s="83"/>
      <c r="R1022" s="83"/>
      <c r="S1022" s="83"/>
      <c r="T1022" s="83"/>
      <c r="U1022" s="83"/>
      <c r="V1022" s="83"/>
      <c r="W1022" s="83"/>
      <c r="X1022" s="83"/>
      <c r="Y1022" s="83"/>
      <c r="Z1022" s="83"/>
      <c r="AA1022" s="83"/>
    </row>
    <row r="1023" ht="15.75" customHeight="1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3"/>
      <c r="N1023" s="84"/>
      <c r="O1023" s="84"/>
      <c r="P1023" s="83"/>
      <c r="Q1023" s="83"/>
      <c r="R1023" s="83"/>
      <c r="S1023" s="83"/>
      <c r="T1023" s="83"/>
      <c r="U1023" s="83"/>
      <c r="V1023" s="83"/>
      <c r="W1023" s="83"/>
      <c r="X1023" s="83"/>
      <c r="Y1023" s="83"/>
      <c r="Z1023" s="83"/>
      <c r="AA1023" s="83"/>
    </row>
    <row r="1024" ht="15.75" customHeight="1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3"/>
      <c r="N1024" s="84"/>
      <c r="O1024" s="84"/>
      <c r="P1024" s="83"/>
      <c r="Q1024" s="83"/>
      <c r="R1024" s="83"/>
      <c r="S1024" s="83"/>
      <c r="T1024" s="83"/>
      <c r="U1024" s="83"/>
      <c r="V1024" s="83"/>
      <c r="W1024" s="83"/>
      <c r="X1024" s="83"/>
      <c r="Y1024" s="83"/>
      <c r="Z1024" s="83"/>
      <c r="AA1024" s="83"/>
    </row>
    <row r="1025" ht="15.75" customHeight="1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3"/>
      <c r="N1025" s="84"/>
      <c r="O1025" s="84"/>
      <c r="P1025" s="83"/>
      <c r="Q1025" s="83"/>
      <c r="R1025" s="83"/>
      <c r="S1025" s="83"/>
      <c r="T1025" s="83"/>
      <c r="U1025" s="83"/>
      <c r="V1025" s="83"/>
      <c r="W1025" s="83"/>
      <c r="X1025" s="83"/>
      <c r="Y1025" s="83"/>
      <c r="Z1025" s="83"/>
      <c r="AA1025" s="83"/>
    </row>
    <row r="1026" ht="15.75" customHeight="1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3"/>
      <c r="N1026" s="84"/>
      <c r="O1026" s="84"/>
      <c r="P1026" s="83"/>
      <c r="Q1026" s="83"/>
      <c r="R1026" s="83"/>
      <c r="S1026" s="83"/>
      <c r="T1026" s="83"/>
      <c r="U1026" s="83"/>
      <c r="V1026" s="83"/>
      <c r="W1026" s="83"/>
      <c r="X1026" s="83"/>
      <c r="Y1026" s="83"/>
      <c r="Z1026" s="83"/>
      <c r="AA1026" s="83"/>
    </row>
    <row r="1027" ht="15.75" customHeight="1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3"/>
      <c r="N1027" s="84"/>
      <c r="O1027" s="84"/>
      <c r="P1027" s="83"/>
      <c r="Q1027" s="83"/>
      <c r="R1027" s="83"/>
      <c r="S1027" s="83"/>
      <c r="T1027" s="83"/>
      <c r="U1027" s="83"/>
      <c r="V1027" s="83"/>
      <c r="W1027" s="83"/>
      <c r="X1027" s="83"/>
      <c r="Y1027" s="83"/>
      <c r="Z1027" s="83"/>
      <c r="AA1027" s="83"/>
    </row>
    <row r="1028" ht="15.75" customHeight="1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3"/>
      <c r="N1028" s="84"/>
      <c r="O1028" s="84"/>
      <c r="P1028" s="83"/>
      <c r="Q1028" s="83"/>
      <c r="R1028" s="83"/>
      <c r="S1028" s="83"/>
      <c r="T1028" s="83"/>
      <c r="U1028" s="83"/>
      <c r="V1028" s="83"/>
      <c r="W1028" s="83"/>
      <c r="X1028" s="83"/>
      <c r="Y1028" s="83"/>
      <c r="Z1028" s="83"/>
      <c r="AA1028" s="83"/>
    </row>
    <row r="1029" ht="15.75" customHeight="1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3"/>
      <c r="N1029" s="84"/>
      <c r="O1029" s="84"/>
      <c r="P1029" s="83"/>
      <c r="Q1029" s="83"/>
      <c r="R1029" s="83"/>
      <c r="S1029" s="83"/>
      <c r="T1029" s="83"/>
      <c r="U1029" s="83"/>
      <c r="V1029" s="83"/>
      <c r="W1029" s="83"/>
      <c r="X1029" s="83"/>
      <c r="Y1029" s="83"/>
      <c r="Z1029" s="83"/>
      <c r="AA1029" s="83"/>
    </row>
    <row r="1030" ht="15.75" customHeight="1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3"/>
      <c r="N1030" s="84"/>
      <c r="O1030" s="84"/>
      <c r="P1030" s="83"/>
      <c r="Q1030" s="83"/>
      <c r="R1030" s="83"/>
      <c r="S1030" s="83"/>
      <c r="T1030" s="83"/>
      <c r="U1030" s="83"/>
      <c r="V1030" s="83"/>
      <c r="W1030" s="83"/>
      <c r="X1030" s="83"/>
      <c r="Y1030" s="83"/>
      <c r="Z1030" s="83"/>
      <c r="AA1030" s="83"/>
    </row>
    <row r="1031" ht="15.75" customHeight="1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3"/>
      <c r="N1031" s="84"/>
      <c r="O1031" s="84"/>
      <c r="P1031" s="83"/>
      <c r="Q1031" s="83"/>
      <c r="R1031" s="83"/>
      <c r="S1031" s="83"/>
      <c r="T1031" s="83"/>
      <c r="U1031" s="83"/>
      <c r="V1031" s="83"/>
      <c r="W1031" s="83"/>
      <c r="X1031" s="83"/>
      <c r="Y1031" s="83"/>
      <c r="Z1031" s="83"/>
      <c r="AA1031" s="83"/>
    </row>
    <row r="1032" ht="15.75" customHeight="1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3"/>
      <c r="N1032" s="84"/>
      <c r="O1032" s="84"/>
      <c r="P1032" s="83"/>
      <c r="Q1032" s="83"/>
      <c r="R1032" s="83"/>
      <c r="S1032" s="83"/>
      <c r="T1032" s="83"/>
      <c r="U1032" s="83"/>
      <c r="V1032" s="83"/>
      <c r="W1032" s="83"/>
      <c r="X1032" s="83"/>
      <c r="Y1032" s="83"/>
      <c r="Z1032" s="83"/>
      <c r="AA1032" s="83"/>
    </row>
    <row r="1033" ht="15.75" customHeight="1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3"/>
      <c r="N1033" s="84"/>
      <c r="O1033" s="84"/>
      <c r="P1033" s="83"/>
      <c r="Q1033" s="83"/>
      <c r="R1033" s="83"/>
      <c r="S1033" s="83"/>
      <c r="T1033" s="83"/>
      <c r="U1033" s="83"/>
      <c r="V1033" s="83"/>
      <c r="W1033" s="83"/>
      <c r="X1033" s="83"/>
      <c r="Y1033" s="83"/>
      <c r="Z1033" s="83"/>
      <c r="AA1033" s="83"/>
    </row>
    <row r="1034" ht="15.75" customHeight="1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3"/>
      <c r="N1034" s="84"/>
      <c r="O1034" s="84"/>
      <c r="P1034" s="83"/>
      <c r="Q1034" s="83"/>
      <c r="R1034" s="83"/>
      <c r="S1034" s="83"/>
      <c r="T1034" s="83"/>
      <c r="U1034" s="83"/>
      <c r="V1034" s="83"/>
      <c r="W1034" s="83"/>
      <c r="X1034" s="83"/>
      <c r="Y1034" s="83"/>
      <c r="Z1034" s="83"/>
      <c r="AA1034" s="83"/>
    </row>
    <row r="1035" ht="15.75" customHeight="1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3"/>
      <c r="N1035" s="84"/>
      <c r="O1035" s="84"/>
      <c r="P1035" s="83"/>
      <c r="Q1035" s="83"/>
      <c r="R1035" s="83"/>
      <c r="S1035" s="83"/>
      <c r="T1035" s="83"/>
      <c r="U1035" s="83"/>
      <c r="V1035" s="83"/>
      <c r="W1035" s="83"/>
      <c r="X1035" s="83"/>
      <c r="Y1035" s="83"/>
      <c r="Z1035" s="83"/>
      <c r="AA1035" s="83"/>
    </row>
    <row r="1036" ht="15.75" customHeight="1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3"/>
      <c r="N1036" s="84"/>
      <c r="O1036" s="84"/>
      <c r="P1036" s="83"/>
      <c r="Q1036" s="83"/>
      <c r="R1036" s="83"/>
      <c r="S1036" s="83"/>
      <c r="T1036" s="83"/>
      <c r="U1036" s="83"/>
      <c r="V1036" s="83"/>
      <c r="W1036" s="83"/>
      <c r="X1036" s="83"/>
      <c r="Y1036" s="83"/>
      <c r="Z1036" s="83"/>
      <c r="AA1036" s="83"/>
    </row>
    <row r="1037" ht="15.75" customHeight="1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3"/>
      <c r="N1037" s="84"/>
      <c r="O1037" s="84"/>
      <c r="P1037" s="83"/>
      <c r="Q1037" s="83"/>
      <c r="R1037" s="83"/>
      <c r="S1037" s="83"/>
      <c r="T1037" s="83"/>
      <c r="U1037" s="83"/>
      <c r="V1037" s="83"/>
      <c r="W1037" s="83"/>
      <c r="X1037" s="83"/>
      <c r="Y1037" s="83"/>
      <c r="Z1037" s="83"/>
      <c r="AA1037" s="83"/>
    </row>
    <row r="1038" ht="15.75" customHeight="1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3"/>
      <c r="N1038" s="84"/>
      <c r="O1038" s="84"/>
      <c r="P1038" s="83"/>
      <c r="Q1038" s="83"/>
      <c r="R1038" s="83"/>
      <c r="S1038" s="83"/>
      <c r="T1038" s="83"/>
      <c r="U1038" s="83"/>
      <c r="V1038" s="83"/>
      <c r="W1038" s="83"/>
      <c r="X1038" s="83"/>
      <c r="Y1038" s="83"/>
      <c r="Z1038" s="83"/>
      <c r="AA1038" s="83"/>
    </row>
    <row r="1039" ht="15.75" customHeight="1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3"/>
      <c r="N1039" s="84"/>
      <c r="O1039" s="84"/>
      <c r="P1039" s="83"/>
      <c r="Q1039" s="83"/>
      <c r="R1039" s="83"/>
      <c r="S1039" s="83"/>
      <c r="T1039" s="83"/>
      <c r="U1039" s="83"/>
      <c r="V1039" s="83"/>
      <c r="W1039" s="83"/>
      <c r="X1039" s="83"/>
      <c r="Y1039" s="83"/>
      <c r="Z1039" s="83"/>
      <c r="AA1039" s="83"/>
    </row>
    <row r="1040" ht="15.75" customHeight="1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3"/>
      <c r="N1040" s="84"/>
      <c r="O1040" s="84"/>
      <c r="P1040" s="83"/>
      <c r="Q1040" s="83"/>
      <c r="R1040" s="83"/>
      <c r="S1040" s="83"/>
      <c r="T1040" s="83"/>
      <c r="U1040" s="83"/>
      <c r="V1040" s="83"/>
      <c r="W1040" s="83"/>
      <c r="X1040" s="83"/>
      <c r="Y1040" s="83"/>
      <c r="Z1040" s="83"/>
      <c r="AA1040" s="83"/>
    </row>
    <row r="1041" ht="15.75" customHeight="1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3"/>
      <c r="N1041" s="84"/>
      <c r="O1041" s="84"/>
      <c r="P1041" s="83"/>
      <c r="Q1041" s="83"/>
      <c r="R1041" s="83"/>
      <c r="S1041" s="83"/>
      <c r="T1041" s="83"/>
      <c r="U1041" s="83"/>
      <c r="V1041" s="83"/>
      <c r="W1041" s="83"/>
      <c r="X1041" s="83"/>
      <c r="Y1041" s="83"/>
      <c r="Z1041" s="83"/>
      <c r="AA1041" s="83"/>
    </row>
    <row r="1042" ht="15.75" customHeight="1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3"/>
      <c r="N1042" s="84"/>
      <c r="O1042" s="84"/>
      <c r="P1042" s="83"/>
      <c r="Q1042" s="83"/>
      <c r="R1042" s="83"/>
      <c r="S1042" s="83"/>
      <c r="T1042" s="83"/>
      <c r="U1042" s="83"/>
      <c r="V1042" s="83"/>
      <c r="W1042" s="83"/>
      <c r="X1042" s="83"/>
      <c r="Y1042" s="83"/>
      <c r="Z1042" s="83"/>
      <c r="AA1042" s="83"/>
    </row>
    <row r="1043" ht="15.75" customHeight="1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3"/>
      <c r="N1043" s="84"/>
      <c r="O1043" s="84"/>
      <c r="P1043" s="83"/>
      <c r="Q1043" s="83"/>
      <c r="R1043" s="83"/>
      <c r="S1043" s="83"/>
      <c r="T1043" s="83"/>
      <c r="U1043" s="83"/>
      <c r="V1043" s="83"/>
      <c r="W1043" s="83"/>
      <c r="X1043" s="83"/>
      <c r="Y1043" s="83"/>
      <c r="Z1043" s="83"/>
      <c r="AA1043" s="83"/>
    </row>
    <row r="1044" ht="15.75" customHeight="1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3"/>
      <c r="N1044" s="84"/>
      <c r="O1044" s="84"/>
      <c r="P1044" s="83"/>
      <c r="Q1044" s="83"/>
      <c r="R1044" s="83"/>
      <c r="S1044" s="83"/>
      <c r="T1044" s="83"/>
      <c r="U1044" s="83"/>
      <c r="V1044" s="83"/>
      <c r="W1044" s="83"/>
      <c r="X1044" s="83"/>
      <c r="Y1044" s="83"/>
      <c r="Z1044" s="83"/>
      <c r="AA1044" s="83"/>
    </row>
    <row r="1045" ht="15.75" customHeight="1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3"/>
      <c r="N1045" s="84"/>
      <c r="O1045" s="84"/>
      <c r="P1045" s="83"/>
      <c r="Q1045" s="83"/>
      <c r="R1045" s="83"/>
      <c r="S1045" s="83"/>
      <c r="T1045" s="83"/>
      <c r="U1045" s="83"/>
      <c r="V1045" s="83"/>
      <c r="W1045" s="83"/>
      <c r="X1045" s="83"/>
      <c r="Y1045" s="83"/>
      <c r="Z1045" s="83"/>
      <c r="AA1045" s="83"/>
    </row>
    <row r="1046" ht="15.75" customHeight="1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3"/>
      <c r="N1046" s="84"/>
      <c r="O1046" s="84"/>
      <c r="P1046" s="83"/>
      <c r="Q1046" s="83"/>
      <c r="R1046" s="83"/>
      <c r="S1046" s="83"/>
      <c r="T1046" s="83"/>
      <c r="U1046" s="83"/>
      <c r="V1046" s="83"/>
      <c r="W1046" s="83"/>
      <c r="X1046" s="83"/>
      <c r="Y1046" s="83"/>
      <c r="Z1046" s="83"/>
      <c r="AA1046" s="83"/>
    </row>
    <row r="1047" ht="15.75" customHeight="1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3"/>
      <c r="N1047" s="84"/>
      <c r="O1047" s="84"/>
      <c r="P1047" s="83"/>
      <c r="Q1047" s="83"/>
      <c r="R1047" s="83"/>
      <c r="S1047" s="83"/>
      <c r="T1047" s="83"/>
      <c r="U1047" s="83"/>
      <c r="V1047" s="83"/>
      <c r="W1047" s="83"/>
      <c r="X1047" s="83"/>
      <c r="Y1047" s="83"/>
      <c r="Z1047" s="83"/>
      <c r="AA1047" s="83"/>
    </row>
    <row r="1048" ht="15.75" customHeight="1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3"/>
      <c r="N1048" s="84"/>
      <c r="O1048" s="84"/>
      <c r="P1048" s="83"/>
      <c r="Q1048" s="83"/>
      <c r="R1048" s="83"/>
      <c r="S1048" s="83"/>
      <c r="T1048" s="83"/>
      <c r="U1048" s="83"/>
      <c r="V1048" s="83"/>
      <c r="W1048" s="83"/>
      <c r="X1048" s="83"/>
      <c r="Y1048" s="83"/>
      <c r="Z1048" s="83"/>
      <c r="AA1048" s="83"/>
    </row>
  </sheetData>
  <mergeCells count="35">
    <mergeCell ref="D3:E3"/>
    <mergeCell ref="F3:G3"/>
    <mergeCell ref="H3:I3"/>
    <mergeCell ref="J3:K3"/>
    <mergeCell ref="L3:M3"/>
    <mergeCell ref="N3:O3"/>
    <mergeCell ref="P3:Q3"/>
    <mergeCell ref="D4:E4"/>
    <mergeCell ref="F4:G4"/>
    <mergeCell ref="H4:I4"/>
    <mergeCell ref="J4:K4"/>
    <mergeCell ref="L4:M4"/>
    <mergeCell ref="N4:O4"/>
    <mergeCell ref="P4:Q4"/>
    <mergeCell ref="D5:E5"/>
    <mergeCell ref="F5:G5"/>
    <mergeCell ref="H5:I5"/>
    <mergeCell ref="J5:K5"/>
    <mergeCell ref="L5:M5"/>
    <mergeCell ref="N5:O5"/>
    <mergeCell ref="P5:Q5"/>
    <mergeCell ref="A8:A18"/>
    <mergeCell ref="A19:A32"/>
    <mergeCell ref="A33:A34"/>
    <mergeCell ref="A35:A37"/>
    <mergeCell ref="A38:A46"/>
    <mergeCell ref="A47:A52"/>
    <mergeCell ref="A53:A56"/>
    <mergeCell ref="D6:E6"/>
    <mergeCell ref="F6:G6"/>
    <mergeCell ref="H6:I6"/>
    <mergeCell ref="J6:K6"/>
    <mergeCell ref="L6:M6"/>
    <mergeCell ref="N6:O6"/>
    <mergeCell ref="P6:Q6"/>
  </mergeCells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41.43"/>
    <col customWidth="1" min="3" max="3" width="10.71"/>
    <col customWidth="1" min="6" max="6" width="43.29"/>
    <col customWidth="1" min="8" max="8" width="21.86"/>
    <col customWidth="1" min="9" max="9" width="24.0"/>
  </cols>
  <sheetData>
    <row r="4">
      <c r="A4" s="42" t="s">
        <v>244</v>
      </c>
      <c r="B4" s="42" t="s">
        <v>245</v>
      </c>
      <c r="C4" s="42" t="s">
        <v>246</v>
      </c>
    </row>
    <row r="5">
      <c r="A5" s="67" t="s">
        <v>158</v>
      </c>
      <c r="B5" s="67">
        <v>848.0</v>
      </c>
      <c r="C5" s="35">
        <v>22.0</v>
      </c>
    </row>
    <row r="6">
      <c r="A6" s="71" t="s">
        <v>159</v>
      </c>
      <c r="B6" s="67">
        <v>1500.0</v>
      </c>
      <c r="C6" s="35">
        <v>22.0</v>
      </c>
    </row>
    <row r="7">
      <c r="A7" s="72" t="s">
        <v>115</v>
      </c>
      <c r="B7" s="73">
        <v>1766.61</v>
      </c>
      <c r="C7" s="35">
        <v>22.0</v>
      </c>
      <c r="F7" s="139"/>
      <c r="G7" s="140"/>
      <c r="H7" s="141"/>
    </row>
    <row r="8">
      <c r="A8" s="67" t="s">
        <v>160</v>
      </c>
      <c r="B8" s="67">
        <v>16000.0</v>
      </c>
      <c r="C8" s="35">
        <v>5.0</v>
      </c>
      <c r="F8" s="139"/>
      <c r="G8" s="140"/>
      <c r="H8" s="141"/>
    </row>
    <row r="9">
      <c r="A9" s="67" t="s">
        <v>161</v>
      </c>
      <c r="B9" s="67">
        <v>1200.0</v>
      </c>
      <c r="C9" s="35">
        <v>22.0</v>
      </c>
      <c r="F9" s="139"/>
      <c r="G9" s="142"/>
      <c r="H9" s="143"/>
    </row>
    <row r="10">
      <c r="A10" s="67" t="s">
        <v>162</v>
      </c>
      <c r="B10" s="67">
        <v>2460.0</v>
      </c>
      <c r="C10" s="35">
        <v>22.0</v>
      </c>
      <c r="F10" s="139"/>
      <c r="G10" s="140"/>
      <c r="H10" s="141"/>
    </row>
    <row r="11">
      <c r="A11" s="67" t="s">
        <v>247</v>
      </c>
      <c r="B11" s="67">
        <v>4000.0</v>
      </c>
      <c r="C11" s="35">
        <v>5.0</v>
      </c>
      <c r="F11" s="139"/>
      <c r="G11" s="139"/>
      <c r="H11" s="141"/>
    </row>
    <row r="12">
      <c r="A12" s="67" t="s">
        <v>166</v>
      </c>
      <c r="B12" s="67">
        <v>8000.0</v>
      </c>
      <c r="C12" s="35">
        <v>5.0</v>
      </c>
      <c r="F12" s="139"/>
      <c r="G12" s="140"/>
      <c r="H12" s="141"/>
    </row>
    <row r="13">
      <c r="A13" s="67" t="s">
        <v>168</v>
      </c>
      <c r="B13" s="67">
        <v>20000.0</v>
      </c>
      <c r="C13" s="35">
        <v>22.0</v>
      </c>
      <c r="F13" s="139"/>
      <c r="G13" s="140"/>
      <c r="H13" s="141"/>
    </row>
    <row r="14">
      <c r="A14" s="71" t="s">
        <v>234</v>
      </c>
      <c r="B14" s="50">
        <f>4137.98*1.22</f>
        <v>5048.3356</v>
      </c>
      <c r="C14" s="35">
        <v>22.0</v>
      </c>
      <c r="F14" s="139"/>
      <c r="G14" s="139"/>
      <c r="H14" s="141"/>
    </row>
    <row r="15">
      <c r="A15" s="71" t="s">
        <v>235</v>
      </c>
      <c r="B15" s="50">
        <f>1531.26*1.22</f>
        <v>1868.1372</v>
      </c>
      <c r="C15" s="35">
        <v>22.0</v>
      </c>
      <c r="F15" s="139"/>
      <c r="G15" s="140"/>
      <c r="H15" s="141"/>
    </row>
    <row r="16">
      <c r="A16" s="71" t="s">
        <v>236</v>
      </c>
      <c r="B16" s="50">
        <f>4500*1.04</f>
        <v>4680</v>
      </c>
      <c r="C16" s="35">
        <v>4.0</v>
      </c>
      <c r="F16" s="139"/>
      <c r="G16" s="140"/>
      <c r="H16" s="141"/>
    </row>
    <row r="17">
      <c r="A17" s="71" t="s">
        <v>185</v>
      </c>
      <c r="B17" s="50">
        <v>1412.4</v>
      </c>
      <c r="C17" s="35">
        <v>22.0</v>
      </c>
      <c r="F17" s="139"/>
      <c r="G17" s="140"/>
      <c r="H17" s="141"/>
    </row>
    <row r="18">
      <c r="A18" s="35" t="s">
        <v>248</v>
      </c>
      <c r="B18" s="38">
        <v>2000.0</v>
      </c>
      <c r="C18" s="35">
        <v>22.0</v>
      </c>
      <c r="F18" s="139"/>
      <c r="G18" s="140"/>
      <c r="H18" s="143"/>
    </row>
    <row r="19">
      <c r="A19" s="35" t="s">
        <v>249</v>
      </c>
      <c r="B19" s="38">
        <v>2600.0</v>
      </c>
      <c r="C19" s="35">
        <v>22.0</v>
      </c>
      <c r="F19" s="139"/>
      <c r="G19" s="140"/>
      <c r="H19" s="141"/>
    </row>
    <row r="20">
      <c r="A20" s="35" t="s">
        <v>250</v>
      </c>
      <c r="B20" s="38">
        <v>56000.0</v>
      </c>
      <c r="C20" s="35">
        <v>22.0</v>
      </c>
      <c r="F20" s="139"/>
      <c r="G20" s="139"/>
      <c r="H20" s="141"/>
    </row>
    <row r="21">
      <c r="A21" s="35" t="s">
        <v>251</v>
      </c>
      <c r="B21" s="81" t="s">
        <v>252</v>
      </c>
      <c r="F21" s="139"/>
      <c r="G21" s="139"/>
      <c r="H21" s="141"/>
    </row>
    <row r="22">
      <c r="A22" s="35" t="s">
        <v>253</v>
      </c>
      <c r="B22" s="80" t="s">
        <v>252</v>
      </c>
      <c r="F22" s="139"/>
      <c r="G22" s="140"/>
      <c r="H22" s="141"/>
    </row>
    <row r="23">
      <c r="F23" s="139"/>
      <c r="G23" s="139"/>
      <c r="H23" s="141"/>
    </row>
    <row r="24">
      <c r="A24" s="35"/>
      <c r="B24" s="35"/>
      <c r="F24" s="139"/>
      <c r="G24" s="143"/>
      <c r="H24" s="144"/>
    </row>
    <row r="25">
      <c r="A25" s="35" t="s">
        <v>254</v>
      </c>
      <c r="F25" s="139"/>
      <c r="G25" s="143"/>
      <c r="H25" s="144"/>
    </row>
    <row r="26">
      <c r="A26" s="145" t="s">
        <v>255</v>
      </c>
      <c r="F26" s="144"/>
      <c r="G26" s="144"/>
      <c r="H26" s="144"/>
    </row>
    <row r="27">
      <c r="A27" s="146" t="s">
        <v>160</v>
      </c>
      <c r="F27" s="147"/>
      <c r="G27" s="144"/>
      <c r="H27" s="144"/>
    </row>
    <row r="28">
      <c r="A28" s="145" t="s">
        <v>256</v>
      </c>
      <c r="F28" s="139"/>
      <c r="G28" s="144"/>
      <c r="H28" s="144"/>
    </row>
    <row r="29">
      <c r="A29" s="146" t="s">
        <v>257</v>
      </c>
      <c r="F29" s="139"/>
      <c r="G29" s="144"/>
      <c r="H29" s="144"/>
    </row>
    <row r="30">
      <c r="A30" s="146" t="s">
        <v>258</v>
      </c>
      <c r="F30" s="139"/>
      <c r="G30" s="144"/>
      <c r="H30" s="144"/>
    </row>
    <row r="31">
      <c r="A31" s="146" t="s">
        <v>259</v>
      </c>
      <c r="B31" s="148"/>
      <c r="F31" s="139"/>
      <c r="G31" s="144"/>
      <c r="H31" s="144"/>
    </row>
    <row r="32">
      <c r="A32" s="146" t="s">
        <v>260</v>
      </c>
      <c r="B32" s="148"/>
      <c r="F32" s="139"/>
      <c r="G32" s="144"/>
      <c r="H32" s="144"/>
    </row>
    <row r="33">
      <c r="A33" s="146" t="s">
        <v>261</v>
      </c>
      <c r="B33" s="148"/>
      <c r="F33" s="139"/>
      <c r="G33" s="144"/>
      <c r="H33" s="144"/>
    </row>
    <row r="34">
      <c r="A34" s="145" t="s">
        <v>262</v>
      </c>
      <c r="B34" s="148"/>
      <c r="F34" s="139"/>
      <c r="G34" s="144"/>
      <c r="H34" s="144"/>
    </row>
    <row r="35">
      <c r="A35" s="71"/>
      <c r="F35" s="139"/>
      <c r="G35" s="144"/>
      <c r="H35" s="144"/>
    </row>
    <row r="36">
      <c r="A36" s="35" t="s">
        <v>263</v>
      </c>
      <c r="F36" s="139"/>
      <c r="G36" s="144"/>
      <c r="H36" s="144"/>
    </row>
    <row r="37">
      <c r="A37" s="145" t="s">
        <v>165</v>
      </c>
      <c r="F37" s="144"/>
      <c r="G37" s="144"/>
      <c r="H37" s="144"/>
    </row>
    <row r="38">
      <c r="A38" s="145" t="s">
        <v>264</v>
      </c>
      <c r="F38" s="147"/>
      <c r="G38" s="144"/>
      <c r="H38" s="144"/>
    </row>
    <row r="39">
      <c r="A39" s="145" t="s">
        <v>249</v>
      </c>
      <c r="F39" s="139"/>
      <c r="G39" s="144"/>
      <c r="H39" s="144"/>
    </row>
    <row r="40">
      <c r="A40" s="145" t="s">
        <v>265</v>
      </c>
      <c r="F40" s="139"/>
      <c r="G40" s="144"/>
      <c r="H40" s="144"/>
    </row>
    <row r="41">
      <c r="A41" s="145" t="s">
        <v>266</v>
      </c>
      <c r="F41" s="139"/>
      <c r="G41" s="144"/>
      <c r="H41" s="144"/>
    </row>
    <row r="42">
      <c r="F42" s="139"/>
      <c r="G42" s="144"/>
      <c r="H42" s="144"/>
    </row>
    <row r="43">
      <c r="F43" s="139"/>
      <c r="G43" s="144"/>
      <c r="H43" s="144"/>
    </row>
    <row r="44">
      <c r="F44" s="14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2025-03-05T18:22:23Z</dcterms:created>
  <dc:creator>ceragioli</dc:creator>
</cp:coreProperties>
</file>